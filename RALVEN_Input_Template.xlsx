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edc17069b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1bfa5220dd24afe"/>
    <x:sheet xmlns:r="http://schemas.openxmlformats.org/officeDocument/2006/relationships" name="Inputs" sheetId="2" r:id="R9f6204f3ada148f2"/>
    <x:sheet xmlns:r="http://schemas.openxmlformats.org/officeDocument/2006/relationships" name="Assumptions" sheetId="3" r:id="R993d6978ba2e4b78"/>
    <x:sheet xmlns:r="http://schemas.openxmlformats.org/officeDocument/2006/relationships" name="Historical" sheetId="4" r:id="R2140e2ec1231464c"/>
    <x:sheet xmlns:r="http://schemas.openxmlformats.org/officeDocument/2006/relationships" name="Peers" sheetId="5" r:id="R546ba3a09c38467e"/>
    <x:sheet xmlns:r="http://schemas.openxmlformats.org/officeDocument/2006/relationships" name="Recovery Inputs" sheetId="6" r:id="R9e59c8ab77cd472d"/>
    <x:sheet xmlns:r="http://schemas.openxmlformats.org/officeDocument/2006/relationships" name="Driver Paths" sheetId="7" r:id="R22487a108091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%"/>
    <x:numFmt numFmtId="202" formatCode="0.00"/>
  </x:numFmts>
  <x:fonts count="5">
    <x:font>
      <x:sz val="11"/>
      <x:name val="Carlito"/>
    </x:font>
    <x:font>
      <x:sz val="10"/>
      <x:color rgb="FF21333D"/>
      <x:name val="Arial"/>
    </x:font>
    <x:font>
      <x:b/>
      <x:sz val="11"/>
      <x:color rgb="FFFFFFFF"/>
      <x:name val="Arial"/>
    </x:font>
    <x:font>
      <x:sz val="10"/>
      <x:color rgb="FF1A5BBD"/>
      <x:name val="Arial"/>
    </x:font>
    <x:font>
      <x:sz val="10"/>
      <x:color rgb="FF2178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FFF8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202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a6d3a48ce430a" /><Relationship Type="http://schemas.openxmlformats.org/officeDocument/2006/relationships/theme" Target="/xl/theme/theme1.xml" Id="R743a0d4252d048c3" /><Relationship Type="http://schemas.openxmlformats.org/officeDocument/2006/relationships/sharedStrings" Target="/xl/sharedStrings.xml" Id="Rcaf2f594f22b44ac" /><Relationship Type="http://schemas.openxmlformats.org/officeDocument/2006/relationships/worksheet" Target="/xl/worksheets/sheet1.xml" Id="R51bfa5220dd24afe" /><Relationship Type="http://schemas.openxmlformats.org/officeDocument/2006/relationships/worksheet" Target="/xl/worksheets/sheet2.xml" Id="R9f6204f3ada148f2" /><Relationship Type="http://schemas.openxmlformats.org/officeDocument/2006/relationships/worksheet" Target="/xl/worksheets/sheet3.xml" Id="R993d6978ba2e4b78" /><Relationship Type="http://schemas.openxmlformats.org/officeDocument/2006/relationships/worksheet" Target="/xl/worksheets/sheet4.xml" Id="R2140e2ec1231464c" /><Relationship Type="http://schemas.openxmlformats.org/officeDocument/2006/relationships/worksheet" Target="/xl/worksheets/sheet5.xml" Id="R546ba3a09c38467e" /><Relationship Type="http://schemas.openxmlformats.org/officeDocument/2006/relationships/worksheet" Target="/xl/worksheets/sheet6.xml" Id="R9e59c8ab77cd472d" /><Relationship Type="http://schemas.openxmlformats.org/officeDocument/2006/relationships/worksheet" Target="/xl/worksheets/sheet7.xml" Id="R22487a10809142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95" hidden="0" customWidth="1"/>
  </x:cols>
  <x:sheetData>
    <x:row r="1" ht="24" customHeight="1">
      <x:c r="A1" s="5" t="str">
        <x:v>RALVEN / INPUT TEMPLATE</x:v>
      </x:c>
      <x:c r="B1" s="4"/>
    </x:row>
    <x:row r="2" ht="24" customHeight="1">
      <x:c r="A2" s="6" t="str">
        <x:v>Workflow</x:v>
      </x:c>
      <x:c r="B2" s="6" t="str">
        <x:v>Replace sample data with verified annual IDR data, then upload this .xlsx.</x:v>
      </x:c>
    </x:row>
    <x:row r="3" ht="24" customHeight="1">
      <x:c r="A3" s="6" t="str">
        <x:v>Units</x:v>
      </x:c>
      <x:c r="B3" s="6" t="str">
        <x:v>Financial amounts in IDR billions. Shares in billions. Price in IDR per share.</x:v>
      </x:c>
    </x:row>
    <x:row r="4" ht="35" customHeight="1">
      <x:c r="A4" s="6" t="str">
        <x:v>Source</x:v>
      </x:c>
      <x:c r="B4" s="6" t="str">
        <x:v>Give the issuer report URL, reporting period, quote source, and publication date in Inputs.source.</x:v>
      </x:c>
    </x:row>
    <x:row r="5" ht="35" customHeight="1">
      <x:c r="A5" s="6" t="str">
        <x:v>Missing values</x:v>
      </x:c>
      <x:c r="B5" s="6" t="str">
        <x:v>Do not replace missing data with zero. Use zero only after verifying absence of that item.</x:v>
      </x:c>
    </x:row>
    <x:row r="6" ht="35" customHeight="1">
      <x:c r="A6" s="6" t="str">
        <x:v>Historical</x:v>
      </x:c>
      <x:c r="B6" s="6" t="str">
        <x:v>Label each historical period ANNUAL or TTM with its actual end date. Use matching fiscal periods. No automatic quarterly annualization.</x:v>
      </x:c>
    </x:row>
    <x:row r="7" ht="35" customHeight="1">
      <x:c r="A7" s="6" t="str">
        <x:v>Peers</x:v>
      </x:c>
      <x:c r="B7" s="6" t="str">
        <x:v>At least 3 eligible peers per multiple. Same industry/currency. Annual or TTM end dates within 100 days; quotes at most 7 days old. Peer metadata is retained at export.</x:v>
      </x:c>
    </x:row>
    <x:row r="8" ht="35" customHeight="1">
      <x:c r="A8" s="6" t="str">
        <x:v>Capital</x:v>
      </x:c>
      <x:c r="B8" s="6" t="str">
        <x:v>Debt includes interest-bearing leases. Cash must exclude restricted cash. Minority and preferred are claim values.</x:v>
      </x:c>
    </x:row>
    <x:row r="9" ht="24" customHeight="1">
      <x:c r="A9" s="6" t="str">
        <x:v>Financial firms</x:v>
      </x:c>
      <x:c r="B9" s="6" t="str">
        <x:v>Debt and cash are excluded from enterprise bridges. Use DDM, P/E and P/B.</x:v>
      </x:c>
    </x:row>
    <x:row r="10" ht="24" customHeight="1">
      <x:c r="A10" s="6" t="str">
        <x:v>Assumptions</x:v>
      </x:c>
      <x:c r="B10" s="6" t="str">
        <x:v>Rates are decimals: 0.06 = 6%. These are analyst assumptions, not provider forecasts.</x:v>
      </x:c>
    </x:row>
    <x:row r="11" ht="35" customHeight="1">
      <x:c r="A11" s="6" t="str">
        <x:v>Sample status</x:v>
      </x:c>
      <x:c r="B11" s="6" t="str">
        <x:v>mode must remain demo for sample data. Set mode to import only after entering verified values.</x:v>
      </x:c>
    </x:row>
    <x:row r="12" ht="35" customHeight="1">
      <x:c r="A12" s="6" t="str">
        <x:v>Security</x:v>
      </x:c>
      <x:c r="B12" s="6" t="str">
        <x:v>Macros are unnecessary. Upload .xlsx only, at most 5 MB. Cached formula inputs are rejected.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95" hidden="0" customWidth="1"/>
  </x:cols>
  <x:sheetData>
    <x:row r="1" ht="24" customHeight="1">
      <x:c r="A1" s="5" t="str">
        <x:v>RALVEN / DATA INPUTS</x:v>
      </x:c>
      <x:c r="B1" s="4"/>
    </x:row>
    <x:row r="2" ht="24" customHeight="1">
      <x:c r="A2" s="6" t="str">
        <x:v>Field</x:v>
      </x:c>
      <x:c r="B2" s="6" t="str">
        <x:v>Value</x:v>
      </x:c>
    </x:row>
    <x:row r="3" ht="24" customHeight="1">
      <x:c r="A3" s="6" t="str">
        <x:v>ticker</x:v>
      </x:c>
      <x:c r="B3" s="6" t="str">
        <x:v>TLKM</x:v>
      </x:c>
    </x:row>
    <x:row r="4" ht="24" customHeight="1">
      <x:c r="A4" s="6" t="str">
        <x:v>name</x:v>
      </x:c>
      <x:c r="B4" s="6" t="str">
        <x:v>Telkom Indonesia (Persero) Tbk</x:v>
      </x:c>
    </x:row>
    <x:row r="5" ht="24" customHeight="1">
      <x:c r="A5" s="6" t="str">
        <x:v>sector</x:v>
      </x:c>
      <x:c r="B5" s="6" t="str">
        <x:v>Communication Services</x:v>
      </x:c>
    </x:row>
    <x:row r="6" ht="24" customHeight="1">
      <x:c r="A6" s="6" t="str">
        <x:v>currency</x:v>
      </x:c>
      <x:c r="B6" s="6" t="str">
        <x:v>IDR</x:v>
      </x:c>
    </x:row>
    <x:row r="7" ht="24" customHeight="1">
      <x:c r="A7" s="6" t="str">
        <x:v>units</x:v>
      </x:c>
      <x:c r="B7" s="6" t="str">
        <x:v>IDR bn / shares bn</x:v>
      </x:c>
    </x:row>
    <x:row r="8" ht="24" customHeight="1">
      <x:c r="A8" s="6" t="str">
        <x:v>period</x:v>
      </x:c>
      <x:c r="B8" s="6" t="str">
        <x:v>2025-12-31</x:v>
      </x:c>
    </x:row>
    <x:row r="9" ht="24" customHeight="1">
      <x:c r="A9" s="6" t="str">
        <x:v>priceDate</x:v>
      </x:c>
      <x:c r="B9" s="6" t="str">
        <x:v>2026-10-23</x:v>
      </x:c>
    </x:row>
    <x:row r="10" ht="24" customHeight="1">
      <x:c r="A10" s="6" t="str">
        <x:v>valuationDate</x:v>
      </x:c>
      <x:c r="B10" s="6" t="str">
        <x:v>2026-10-24</x:v>
      </x:c>
    </x:row>
    <x:row r="11" ht="24" customHeight="1">
      <x:c r="A11" s="6" t="str">
        <x:v>price</x:v>
      </x:c>
      <x:c r="B11" s="8" t="n">
        <x:v>2750</x:v>
      </x:c>
    </x:row>
    <x:row r="12" ht="24" customHeight="1">
      <x:c r="A12" s="6" t="str">
        <x:v>shares</x:v>
      </x:c>
      <x:c r="B12" s="8" t="n">
        <x:v>99.06</x:v>
      </x:c>
    </x:row>
    <x:row r="13" ht="24" customHeight="1">
      <x:c r="A13" s="6" t="str">
        <x:v>revenue</x:v>
      </x:c>
      <x:c r="B13" s="8" t="n">
        <x:v>150000</x:v>
      </x:c>
    </x:row>
    <x:row r="14" ht="24" customHeight="1">
      <x:c r="A14" s="6" t="str">
        <x:v>ebit</x:v>
      </x:c>
      <x:c r="B14" s="8" t="n">
        <x:v>38800</x:v>
      </x:c>
    </x:row>
    <x:row r="15" ht="24" customHeight="1">
      <x:c r="A15" s="6" t="str">
        <x:v>netIncome</x:v>
      </x:c>
      <x:c r="B15" s="8" t="n">
        <x:v>24500</x:v>
      </x:c>
    </x:row>
    <x:row r="16" ht="24" customHeight="1">
      <x:c r="A16" s="6" t="str">
        <x:v>ebitda</x:v>
      </x:c>
      <x:c r="B16" s="8" t="n">
        <x:v>68000</x:v>
      </x:c>
    </x:row>
    <x:row r="17" ht="24" customHeight="1">
      <x:c r="A17" s="6" t="str">
        <x:v>bookEquity</x:v>
      </x:c>
      <x:c r="B17" s="8" t="n">
        <x:v>134000</x:v>
      </x:c>
    </x:row>
    <x:row r="18" ht="24" customHeight="1">
      <x:c r="A18" s="6" t="str">
        <x:v>debt</x:v>
      </x:c>
      <x:c r="B18" s="8" t="n">
        <x:v>39000</x:v>
      </x:c>
    </x:row>
    <x:row r="19" ht="24" customHeight="1">
      <x:c r="A19" s="6" t="str">
        <x:v>cash</x:v>
      </x:c>
      <x:c r="B19" s="8" t="n">
        <x:v>26000</x:v>
      </x:c>
    </x:row>
    <x:row r="20" ht="24" customHeight="1">
      <x:c r="A20" s="6" t="str">
        <x:v>minority</x:v>
      </x:c>
      <x:c r="B20" s="8" t="n">
        <x:v>1800</x:v>
      </x:c>
    </x:row>
    <x:row r="21" ht="24" customHeight="1">
      <x:c r="A21" s="6" t="str">
        <x:v>preferred</x:v>
      </x:c>
      <x:c r="B21" s="8" t="n">
        <x:v>0</x:v>
      </x:c>
    </x:row>
    <x:row r="22" ht="35" customHeight="1">
      <x:c r="A22" s="6" t="str">
        <x:v>source</x:v>
      </x:c>
      <x:c r="B22" s="6" t="str">
        <x:v>RALVEN synthetic teaching dataset. All amounts, dates and price histories are illustrative, not verified issuer results.</x:v>
      </x:c>
    </x:row>
    <x:row r="23" ht="24" customHeight="1">
      <x:c r="A23" s="6" t="str">
        <x:v>updatedAt</x:v>
      </x:c>
      <x:c r="B23" s="6" t="d">
        <x:v>2026-10-23T17:00:00.000Z</x:v>
      </x:c>
    </x:row>
    <x:row r="24" ht="24" customHeight="1">
      <x:c r="A24" s="6" t="str">
        <x:v>mode</x:v>
      </x:c>
      <x:c r="B24" s="6" t="str">
        <x:v>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4" customHeight="1">
      <x:c r="A1" s="5" t="str">
        <x:v>RALVEN / ASSUMPTIONS</x:v>
      </x:c>
      <x:c r="B1" s="4"/>
    </x:row>
    <x:row r="2" ht="24" customHeight="1">
      <x:c r="A2" s="6" t="str">
        <x:v>Parameter</x:v>
      </x:c>
      <x:c r="B2" s="6" t="str">
        <x:v>Value</x:v>
      </x:c>
    </x:row>
    <x:row r="3" ht="24" customHeight="1">
      <x:c r="A3" s="6" t="str">
        <x:v>growth</x:v>
      </x:c>
      <x:c r="B3" s="9" t="n">
        <x:v>0.06</x:v>
      </x:c>
    </x:row>
    <x:row r="4" ht="24" customHeight="1">
      <x:c r="A4" s="6" t="str">
        <x:v>margin</x:v>
      </x:c>
      <x:c r="B4" s="9" t="n">
        <x:v>0.25866666666666666</x:v>
      </x:c>
    </x:row>
    <x:row r="5" ht="24" customHeight="1">
      <x:c r="A5" s="6" t="str">
        <x:v>tax</x:v>
      </x:c>
      <x:c r="B5" s="9" t="n">
        <x:v>0.22</x:v>
      </x:c>
    </x:row>
    <x:row r="6" ht="24" customHeight="1">
      <x:c r="A6" s="6" t="str">
        <x:v>da</x:v>
      </x:c>
      <x:c r="B6" s="9" t="n">
        <x:v>0.19466666666666665</x:v>
      </x:c>
    </x:row>
    <x:row r="7" ht="24" customHeight="1">
      <x:c r="A7" s="6" t="str">
        <x:v>capex</x:v>
      </x:c>
      <x:c r="B7" s="9" t="n">
        <x:v>0.055</x:v>
      </x:c>
    </x:row>
    <x:row r="8" ht="24" customHeight="1">
      <x:c r="A8" s="6" t="str">
        <x:v>nwc</x:v>
      </x:c>
      <x:c r="B8" s="9" t="n">
        <x:v>0.04</x:v>
      </x:c>
    </x:row>
    <x:row r="9" ht="24" customHeight="1">
      <x:c r="A9" s="6" t="str">
        <x:v>rf</x:v>
      </x:c>
      <x:c r="B9" s="9" t="n">
        <x:v>0.065</x:v>
      </x:c>
    </x:row>
    <x:row r="10" ht="24" customHeight="1">
      <x:c r="A10" s="6" t="str">
        <x:v>beta</x:v>
      </x:c>
      <x:c r="B10" s="10" t="n">
        <x:v>0.9</x:v>
      </x:c>
    </x:row>
    <x:row r="11" ht="24" customHeight="1">
      <x:c r="A11" s="6" t="str">
        <x:v>erp</x:v>
      </x:c>
      <x:c r="B11" s="9" t="n">
        <x:v>0.065</x:v>
      </x:c>
    </x:row>
    <x:row r="12" ht="24" customHeight="1">
      <x:c r="A12" s="6" t="str">
        <x:v>kd</x:v>
      </x:c>
      <x:c r="B12" s="9" t="n">
        <x:v>0.085</x:v>
      </x:c>
    </x:row>
    <x:row r="13" ht="24" customHeight="1">
      <x:c r="A13" s="6" t="str">
        <x:v>g</x:v>
      </x:c>
      <x:c r="B13" s="9" t="n">
        <x:v>0.035</x:v>
      </x:c>
    </x:row>
    <x:row r="14" ht="24" customHeight="1">
      <x:c r="A14" s="6" t="str">
        <x:v>roic</x:v>
      </x:c>
      <x:c r="B14" s="9" t="n">
        <x:v>0.14</x:v>
      </x:c>
    </x:row>
    <x:row r="15" ht="24" customHeight="1">
      <x:c r="A15" s="6" t="str">
        <x:v>payout</x:v>
      </x:c>
      <x:c r="B15" s="9" t="n">
        <x:v>0.65</x:v>
      </x:c>
    </x:row>
    <x:row r="16" ht="24" customHeight="1">
      <x:c r="A16" s="6" t="str">
        <x:v>terminalRoe</x:v>
      </x:c>
      <x:c r="B16" s="9" t="n">
        <x:v>0.16</x:v>
      </x:c>
    </x:row>
    <x:row r="17" ht="24" customHeight="1">
      <x:c r="A17" s="6" t="str">
        <x:v>buy</x:v>
      </x:c>
      <x:c r="B17" s="9" t="n">
        <x:v>0.15</x:v>
      </x:c>
    </x:row>
    <x:row r="18" ht="24" customHeight="1">
      <x:c r="A18" s="6" t="str">
        <x:v>sell</x:v>
      </x:c>
      <x:c r="B18" s="9" t="n">
        <x:v>-0.15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4" customHeight="1">
      <x:c r="A1" s="5" t="str">
        <x:v>year</x:v>
      </x:c>
      <x:c r="B1" s="5" t="str">
        <x:v>period</x:v>
      </x:c>
      <x:c r="C1" s="5" t="str">
        <x:v>basis</x:v>
      </x:c>
      <x:c r="D1" s="5" t="str">
        <x:v>revenue</x:v>
      </x:c>
      <x:c r="E1" s="5" t="str">
        <x:v>ebit</x:v>
      </x:c>
      <x:c r="F1" s="5" t="str">
        <x:v>netIncome</x:v>
      </x:c>
      <x:c r="G1" s="5" t="str">
        <x:v>ocf</x:v>
      </x:c>
    </x:row>
    <x:row r="2" ht="24" customHeight="1">
      <x:c r="A2" s="8" t="n">
        <x:v>2023</x:v>
      </x:c>
      <x:c r="B2" s="6" t="str">
        <x:v>2023-12-31</x:v>
      </x:c>
      <x:c r="C2" s="6" t="str">
        <x:v>ANNUAL</x:v>
      </x:c>
      <x:c r="D2" s="8" t="n">
        <x:v>132000</x:v>
      </x:c>
      <x:c r="E2" s="8" t="n">
        <x:v>32592</x:v>
      </x:c>
      <x:c r="F2" s="8" t="n">
        <x:v>19600</x:v>
      </x:c>
      <x:c r="G2" s="8" t="n">
        <x:v>56440</x:v>
      </x:c>
    </x:row>
    <x:row r="3" ht="24" customHeight="1">
      <x:c r="A3" s="8" t="n">
        <x:v>2024</x:v>
      </x:c>
      <x:c r="B3" s="6" t="str">
        <x:v>2024-12-31</x:v>
      </x:c>
      <x:c r="C3" s="6" t="str">
        <x:v>ANNUAL</x:v>
      </x:c>
      <x:c r="D3" s="8" t="n">
        <x:v>141000</x:v>
      </x:c>
      <x:c r="E3" s="8" t="n">
        <x:v>35696</x:v>
      </x:c>
      <x:c r="F3" s="8" t="n">
        <x:v>22050</x:v>
      </x:c>
      <x:c r="G3" s="8" t="n">
        <x:v>61199.99999999999</x:v>
      </x:c>
    </x:row>
    <x:row r="4" ht="24" customHeight="1">
      <x:c r="A4" s="8" t="n">
        <x:v>2025</x:v>
      </x:c>
      <x:c r="B4" s="6" t="str">
        <x:v>2025-12-31</x:v>
      </x:c>
      <x:c r="C4" s="6" t="str">
        <x:v>ANNUAL</x:v>
      </x:c>
      <x:c r="D4" s="8" t="n">
        <x:v>150000</x:v>
      </x:c>
      <x:c r="E4" s="8" t="n">
        <x:v>38800</x:v>
      </x:c>
      <x:c r="F4" s="8" t="n">
        <x:v>24500</x:v>
      </x:c>
      <x:c r="G4" s="8" t="n">
        <x:v>65960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4" customHeight="1">
      <x:c r="A1" s="5" t="str">
        <x:v>ticker</x:v>
      </x:c>
      <x:c r="B1" s="5" t="str">
        <x:v>sector</x:v>
      </x:c>
      <x:c r="C1" s="5" t="str">
        <x:v>currency</x:v>
      </x:c>
      <x:c r="D1" s="5" t="str">
        <x:v>period</x:v>
      </x:c>
      <x:c r="E1" s="5" t="str">
        <x:v>priceDate</x:v>
      </x:c>
      <x:c r="F1" s="5" t="str">
        <x:v>price</x:v>
      </x:c>
      <x:c r="G1" s="5" t="str">
        <x:v>shares</x:v>
      </x:c>
      <x:c r="H1" s="5" t="str">
        <x:v>netIncome</x:v>
      </x:c>
      <x:c r="I1" s="5" t="str">
        <x:v>bookEquity</x:v>
      </x:c>
      <x:c r="J1" s="5" t="str">
        <x:v>ebitda</x:v>
      </x:c>
      <x:c r="K1" s="5" t="str">
        <x:v>debt</x:v>
      </x:c>
      <x:c r="L1" s="5" t="str">
        <x:v>cash</x:v>
      </x:c>
      <x:c r="M1" s="5" t="str">
        <x:v>minority</x:v>
      </x:c>
      <x:c r="N1" s="5" t="str">
        <x:v>preferred</x:v>
      </x:c>
      <x:c r="O1" s="5" t="str">
        <x:v>source</x:v>
      </x:c>
      <x:c r="P1" s="5" t="str">
        <x:v>industry</x:v>
      </x:c>
      <x:c r="Q1" s="5" t="str">
        <x:v>subIndustry</x:v>
      </x:c>
      <x:c r="R1" s="5" t="str">
        <x:v>periodBasis</x:v>
      </x:c>
      <x:c r="S1" s="5" t="str">
        <x:v>units</x:v>
      </x:c>
      <x:c r="T1" s="5" t="str">
        <x:v>revenue</x:v>
      </x:c>
    </x:row>
    <x:row r="2" ht="24" customHeight="1">
      <x:c r="A2" s="6" t="str">
        <x:v>ISAT</x:v>
      </x:c>
      <x:c r="B2" s="6" t="str">
        <x:v>Communication Services</x:v>
      </x:c>
      <x:c r="C2" s="6" t="str">
        <x:v>IDR</x:v>
      </x:c>
      <x:c r="D2" s="6" t="str">
        <x:v>2025-12-31</x:v>
      </x:c>
      <x:c r="E2" s="6" t="str">
        <x:v>2026-10-23</x:v>
      </x:c>
      <x:c r="F2" s="8" t="n">
        <x:v>2000</x:v>
      </x:c>
      <x:c r="G2" s="8" t="n">
        <x:v>10</x:v>
      </x:c>
      <x:c r="H2" s="8" t="n">
        <x:v>1538.4615384615386</x:v>
      </x:c>
      <x:c r="I2" s="8" t="n">
        <x:v>9090.90909090909</x:v>
      </x:c>
      <x:c r="J2" s="8" t="n">
        <x:v>6000</x:v>
      </x:c>
      <x:c r="K2" s="8" t="n">
        <x:v>12000</x:v>
      </x:c>
      <x:c r="L2" s="8" t="n">
        <x:v>2500</x:v>
      </x:c>
      <x:c r="M2" s="8" t="n">
        <x:v>0</x:v>
      </x:c>
      <x:c r="N2" s="8" t="n">
        <x:v>0</x:v>
      </x:c>
      <x:c r="O2" s="6" t="str">
        <x:v>Synthetic peer inputs, for demonstration only</x:v>
      </x:c>
      <x:c r="P2" s="2"/>
      <x:c r="Q2" s="2"/>
      <x:c r="R2" s="2"/>
      <x:c r="S2" s="2"/>
      <x:c r="T2" s="2"/>
    </x:row>
    <x:row r="3" ht="24" customHeight="1">
      <x:c r="A3" s="6" t="str">
        <x:v>EXCL</x:v>
      </x:c>
      <x:c r="B3" s="6" t="str">
        <x:v>Communication Services</x:v>
      </x:c>
      <x:c r="C3" s="6" t="str">
        <x:v>IDR</x:v>
      </x:c>
      <x:c r="D3" s="6" t="str">
        <x:v>2025-12-31</x:v>
      </x:c>
      <x:c r="E3" s="6" t="str">
        <x:v>2026-10-23</x:v>
      </x:c>
      <x:c r="F3" s="8" t="n">
        <x:v>3000</x:v>
      </x:c>
      <x:c r="G3" s="8" t="n">
        <x:v>10</x:v>
      </x:c>
      <x:c r="H3" s="8" t="n">
        <x:v>2000</x:v>
      </x:c>
      <x:c r="I3" s="8" t="n">
        <x:v>13636.363636363636</x:v>
      </x:c>
      <x:c r="J3" s="8" t="n">
        <x:v>7300</x:v>
      </x:c>
      <x:c r="K3" s="8" t="n">
        <x:v>14000</x:v>
      </x:c>
      <x:c r="L3" s="8" t="n">
        <x:v>2500</x:v>
      </x:c>
      <x:c r="M3" s="8" t="n">
        <x:v>0</x:v>
      </x:c>
      <x:c r="N3" s="8" t="n">
        <x:v>0</x:v>
      </x:c>
      <x:c r="O3" s="6" t="str">
        <x:v>Synthetic peer inputs, for demonstration only</x:v>
      </x:c>
      <x:c r="P3" s="2"/>
      <x:c r="Q3" s="2"/>
      <x:c r="R3" s="2"/>
      <x:c r="S3" s="2"/>
      <x:c r="T3" s="2"/>
    </x:row>
    <x:row r="4" ht="24" customHeight="1">
      <x:c r="A4" s="6" t="str">
        <x:v>MTEL</x:v>
      </x:c>
      <x:c r="B4" s="6" t="str">
        <x:v>Communication Services</x:v>
      </x:c>
      <x:c r="C4" s="6" t="str">
        <x:v>IDR</x:v>
      </x:c>
      <x:c r="D4" s="6" t="str">
        <x:v>2025-12-31</x:v>
      </x:c>
      <x:c r="E4" s="6" t="str">
        <x:v>2026-10-23</x:v>
      </x:c>
      <x:c r="F4" s="8" t="n">
        <x:v>4000</x:v>
      </x:c>
      <x:c r="G4" s="8" t="n">
        <x:v>10</x:v>
      </x:c>
      <x:c r="H4" s="8" t="n">
        <x:v>2352.9411764705883</x:v>
      </x:c>
      <x:c r="I4" s="8" t="n">
        <x:v>18181.81818181818</x:v>
      </x:c>
      <x:c r="J4" s="8" t="n">
        <x:v>8600</x:v>
      </x:c>
      <x:c r="K4" s="8" t="n">
        <x:v>16000</x:v>
      </x:c>
      <x:c r="L4" s="8" t="n">
        <x:v>2500</x:v>
      </x:c>
      <x:c r="M4" s="8" t="n">
        <x:v>0</x:v>
      </x:c>
      <x:c r="N4" s="8" t="n">
        <x:v>0</x:v>
      </x:c>
      <x:c r="O4" s="6" t="str">
        <x:v>Synthetic peer inputs, for demonstration only</x:v>
      </x:c>
      <x:c r="P4" s="2"/>
      <x:c r="Q4" s="2"/>
      <x:c r="R4" s="2"/>
      <x:c r="S4" s="2"/>
      <x:c r="T4" s="2"/>
    </x:row>
    <x:row r="5" ht="24" customHeight="1">
      <x:c r="A5" s="6" t="str">
        <x:v>TOWR</x:v>
      </x:c>
      <x:c r="B5" s="6" t="str">
        <x:v>Communication Services</x:v>
      </x:c>
      <x:c r="C5" s="6" t="str">
        <x:v>IDR</x:v>
      </x:c>
      <x:c r="D5" s="6" t="str">
        <x:v>2025-12-31</x:v>
      </x:c>
      <x:c r="E5" s="6" t="str">
        <x:v>2026-10-23</x:v>
      </x:c>
      <x:c r="F5" s="8" t="n">
        <x:v>5000</x:v>
      </x:c>
      <x:c r="G5" s="8" t="n">
        <x:v>10</x:v>
      </x:c>
      <x:c r="H5" s="8" t="n">
        <x:v>2631.5789473684213</x:v>
      </x:c>
      <x:c r="I5" s="8" t="n">
        <x:v>22727.272727272724</x:v>
      </x:c>
      <x:c r="J5" s="8" t="n">
        <x:v>9900</x:v>
      </x:c>
      <x:c r="K5" s="8" t="n">
        <x:v>18000</x:v>
      </x:c>
      <x:c r="L5" s="8" t="n">
        <x:v>2500</x:v>
      </x:c>
      <x:c r="M5" s="8" t="n">
        <x:v>0</x:v>
      </x:c>
      <x:c r="N5" s="8" t="n">
        <x:v>0</x:v>
      </x:c>
      <x:c r="O5" s="6" t="str">
        <x:v>Synthetic peer inputs, for demonstration only</x:v>
      </x:c>
      <x:c r="P5" s="2"/>
      <x:c r="Q5" s="2"/>
      <x:c r="R5" s="2"/>
      <x:c r="S5" s="2"/>
      <x:c r="T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9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4" customHeight="1">
      <x:c r="A1" s="5" t="str">
        <x:v>CASH-FUNDED RECOVERY / IDR BN</x:v>
      </x:c>
      <x:c r="B1" s="4"/>
      <x:c r="C1" s="4"/>
      <x:c r="D1" s="4"/>
      <x:c r="E1" s="4"/>
      <x:c r="F1" s="4"/>
    </x:row>
    <x:row r="2" ht="24" customHeight="1">
      <x:c r="A2" s="6" t="str">
        <x:v>Analyst review confirmed</x:v>
      </x:c>
      <x:c r="B2" s="8" t="n">
        <x:v>0</x:v>
      </x:c>
      <x:c r="C2" s="2"/>
      <x:c r="D2" s="2"/>
      <x:c r="E2" s="2"/>
      <x:c r="F2" s="2"/>
    </x:row>
    <x:row r="3" ht="24" customHeight="1">
      <x:c r="A3" s="6" t="str">
        <x:v>No new borrowing or equity</x:v>
      </x:c>
      <x:c r="B3" s="8" t="n">
        <x:v>0</x:v>
      </x:c>
      <x:c r="C3" s="2"/>
      <x:c r="D3" s="2"/>
      <x:c r="E3" s="2"/>
      <x:c r="F3" s="2"/>
    </x:row>
    <x:row r="4" ht="24" customHeight="1">
      <x:c r="A4" s="6" t="str">
        <x:v>Source URL</x:v>
      </x:c>
      <x:c r="B4" s="6" t="str"/>
      <x:c r="C4" s="2"/>
      <x:c r="D4" s="2"/>
      <x:c r="E4" s="2"/>
      <x:c r="F4" s="2"/>
    </x:row>
    <x:row r="5" ht="24" customHeight="1">
      <x:c r="A5" s="6" t="str">
        <x:v>Review rationale</x:v>
      </x:c>
      <x:c r="B5" s="6" t="str"/>
      <x:c r="C5" s="2"/>
      <x:c r="D5" s="2"/>
      <x:c r="E5" s="2"/>
      <x:c r="F5" s="2"/>
    </x:row>
    <x:row r="6" ht="24" customHeight="1">
      <x:c r="A6" s="6" t="str">
        <x:v>Source period</x:v>
      </x:c>
      <x:c r="B6" s="6" t="str">
        <x:v>2025-12-31</x:v>
      </x:c>
      <x:c r="C6" s="2"/>
      <x:c r="D6" s="2"/>
      <x:c r="E6" s="2"/>
      <x:c r="F6" s="2"/>
    </x:row>
    <x:row r="7" ht="24" customHeight="1">
      <x:c r="A7" s="6" t="str">
        <x:v>Review date</x:v>
      </x:c>
      <x:c r="B7" s="6" t="str"/>
      <x:c r="C7" s="2"/>
      <x:c r="D7" s="2"/>
      <x:c r="E7" s="2"/>
      <x:c r="F7" s="2"/>
    </x:row>
    <x:row r="8" ht="24" customHeight="1">
      <x:c r="A8" s="6" t="str">
        <x:v>Unrestricted available cash</x:v>
      </x:c>
      <x:c r="B8" s="2"/>
      <x:c r="C8" s="2"/>
      <x:c r="D8" s="2"/>
      <x:c r="E8" s="2"/>
      <x:c r="F8" s="2"/>
    </x:row>
    <x:row r="9" ht="24" customHeight="1">
      <x:c r="A9" s="6" t="str">
        <x:v>Minimum cash reserve</x:v>
      </x:c>
      <x:c r="B9" s="2"/>
      <x:c r="C9" s="2"/>
      <x:c r="D9" s="2"/>
      <x:c r="E9" s="2"/>
      <x:c r="F9" s="2"/>
    </x:row>
    <x:row r="10" ht="24" customHeight="1">
      <x:c r="A10" s="6" t="str">
        <x:v>Year</x:v>
      </x:c>
      <x:c r="B10" s="6" t="str">
        <x:v>Y1</x:v>
      </x:c>
      <x:c r="C10" s="6" t="str">
        <x:v>Y2</x:v>
      </x:c>
      <x:c r="D10" s="6" t="str">
        <x:v>Y3</x:v>
      </x:c>
      <x:c r="E10" s="6" t="str">
        <x:v>Y4</x:v>
      </x:c>
      <x:c r="F10" s="6" t="str">
        <x:v>Y5</x:v>
      </x:c>
    </x:row>
    <x:row r="11" ht="24" customHeight="1">
      <x:c r="A11" s="6" t="str">
        <x:v>After-tax interest</x:v>
      </x:c>
      <x:c r="B11" s="2"/>
      <x:c r="C11" s="2"/>
      <x:c r="D11" s="2"/>
      <x:c r="E11" s="2"/>
      <x:c r="F11" s="2"/>
    </x:row>
    <x:row r="12" ht="24" customHeight="1">
      <x:c r="A12" s="6" t="str">
        <x:v>Principal cash payments</x:v>
      </x:c>
      <x:c r="B12" s="2"/>
      <x:c r="C12" s="2"/>
      <x:c r="D12" s="2"/>
      <x:c r="E12" s="2"/>
      <x:c r="F12" s="2"/>
    </x:row>
    <x:row r="13" ht="24" customHeight="1">
      <x:c r="A13" s="6" t="str">
        <x:v>Other cash obligations</x:v>
      </x:c>
      <x:c r="B13" s="2"/>
      <x:c r="C13" s="2"/>
      <x:c r="D13" s="2"/>
      <x:c r="E13" s="2"/>
      <x:c r="F13" s="2"/>
    </x:row>
    <x:row r="14" ht="24" customHeight="1">
      <x:c r="A14" s="6" t="str">
        <x:v>Valuation date</x:v>
      </x:c>
      <x:c r="B14" s="6" t="str">
        <x:v>2026-10-24</x:v>
      </x:c>
      <x:c r="C14" s="2"/>
      <x:c r="D14" s="2"/>
      <x:c r="E14" s="2"/>
      <x:c r="F14" s="2"/>
    </x:row>
    <x:row r="15" ht="24" customHeight="1">
      <x:c r="A15" s="6" t="str">
        <x:v>Reference source snapshot</x:v>
      </x:c>
      <x:c r="B15" s="6" t="str"/>
      <x:c r="C15" s="2"/>
      <x:c r="D15" s="2"/>
      <x:c r="E15" s="2"/>
      <x:c r="F15" s="2"/>
    </x:row>
    <x:row r="16" ht="65" customHeight="1">
      <x:c r="A16" s="6" t="str">
        <x:v>Scope</x:v>
      </x:c>
      <x:c r="B16" s="6" t="str">
        <x:v>Optional: leave review flag 0 unless intentionally enabling a reviewed cash-funded recovery. Replace all six yearly operating-driver links with reviewed literal values in Driver Paths. Blank obligations are not zero. No new financing or dilution. Reimport after source or review changes.</x:v>
      </x:c>
      <x:c r="C16" s="2"/>
      <x:c r="D16" s="2"/>
      <x:c r="E16" s="2"/>
      <x:c r="F16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4" customHeight="1">
      <x:c r="A1" s="5" t="str">
        <x:v>Driver / annual override</x:v>
      </x:c>
      <x:c r="B1" s="5" t="str">
        <x:v>Y1</x:v>
      </x:c>
      <x:c r="C1" s="5" t="str">
        <x:v>Y2</x:v>
      </x:c>
      <x:c r="D1" s="5" t="str">
        <x:v>Y3</x:v>
      </x:c>
      <x:c r="E1" s="5" t="str">
        <x:v>Y4</x:v>
      </x:c>
      <x:c r="F1" s="5" t="str">
        <x:v>Y5</x:v>
      </x:c>
    </x:row>
    <x:row r="2" ht="24" customHeight="1">
      <x:c r="A2" s="6" t="str">
        <x:v>growth</x:v>
      </x:c>
      <x:c r="B2" s="12" t="n">
        <x:f>Assumptions!B3</x:f>
        <x:v>0.06</x:v>
      </x:c>
      <x:c r="C2" s="12" t="n">
        <x:f>Assumptions!B3</x:f>
        <x:v>0.06</x:v>
      </x:c>
      <x:c r="D2" s="12" t="n">
        <x:f>Assumptions!B3</x:f>
        <x:v>0.06</x:v>
      </x:c>
      <x:c r="E2" s="12" t="n">
        <x:f>Assumptions!B3</x:f>
        <x:v>0.06</x:v>
      </x:c>
      <x:c r="F2" s="12" t="n">
        <x:f>Assumptions!B3</x:f>
        <x:v>0.06</x:v>
      </x:c>
    </x:row>
    <x:row r="3" ht="24" customHeight="1">
      <x:c r="A3" s="6" t="str">
        <x:v>margin</x:v>
      </x:c>
      <x:c r="B3" s="12" t="n">
        <x:f>Assumptions!B4</x:f>
        <x:v>0.25866666666666666</x:v>
      </x:c>
      <x:c r="C3" s="12" t="n">
        <x:f>Assumptions!B4</x:f>
        <x:v>0.25866666666666666</x:v>
      </x:c>
      <x:c r="D3" s="12" t="n">
        <x:f>Assumptions!B4</x:f>
        <x:v>0.25866666666666666</x:v>
      </x:c>
      <x:c r="E3" s="12" t="n">
        <x:f>Assumptions!B4</x:f>
        <x:v>0.25866666666666666</x:v>
      </x:c>
      <x:c r="F3" s="12" t="n">
        <x:f>Assumptions!B4</x:f>
        <x:v>0.25866666666666666</x:v>
      </x:c>
    </x:row>
    <x:row r="4" ht="24" customHeight="1">
      <x:c r="A4" s="6" t="str">
        <x:v>tax</x:v>
      </x:c>
      <x:c r="B4" s="12" t="n">
        <x:f>Assumptions!B5</x:f>
        <x:v>0.22</x:v>
      </x:c>
      <x:c r="C4" s="12" t="n">
        <x:f>Assumptions!B5</x:f>
        <x:v>0.22</x:v>
      </x:c>
      <x:c r="D4" s="12" t="n">
        <x:f>Assumptions!B5</x:f>
        <x:v>0.22</x:v>
      </x:c>
      <x:c r="E4" s="12" t="n">
        <x:f>Assumptions!B5</x:f>
        <x:v>0.22</x:v>
      </x:c>
      <x:c r="F4" s="12" t="n">
        <x:f>Assumptions!B5</x:f>
        <x:v>0.22</x:v>
      </x:c>
    </x:row>
    <x:row r="5" ht="24" customHeight="1">
      <x:c r="A5" s="6" t="str">
        <x:v>da</x:v>
      </x:c>
      <x:c r="B5" s="12" t="n">
        <x:f>Assumptions!B6</x:f>
        <x:v>0.19466666666666665</x:v>
      </x:c>
      <x:c r="C5" s="12" t="n">
        <x:f>Assumptions!B6</x:f>
        <x:v>0.19466666666666665</x:v>
      </x:c>
      <x:c r="D5" s="12" t="n">
        <x:f>Assumptions!B6</x:f>
        <x:v>0.19466666666666665</x:v>
      </x:c>
      <x:c r="E5" s="12" t="n">
        <x:f>Assumptions!B6</x:f>
        <x:v>0.19466666666666665</x:v>
      </x:c>
      <x:c r="F5" s="12" t="n">
        <x:f>Assumptions!B6</x:f>
        <x:v>0.19466666666666665</x:v>
      </x:c>
    </x:row>
    <x:row r="6" ht="24" customHeight="1">
      <x:c r="A6" s="6" t="str">
        <x:v>capex</x:v>
      </x:c>
      <x:c r="B6" s="12" t="n">
        <x:f>Assumptions!B7</x:f>
        <x:v>0.055</x:v>
      </x:c>
      <x:c r="C6" s="12" t="n">
        <x:f>Assumptions!B7</x:f>
        <x:v>0.055</x:v>
      </x:c>
      <x:c r="D6" s="12" t="n">
        <x:f>Assumptions!B7</x:f>
        <x:v>0.055</x:v>
      </x:c>
      <x:c r="E6" s="12" t="n">
        <x:f>Assumptions!B7</x:f>
        <x:v>0.055</x:v>
      </x:c>
      <x:c r="F6" s="12" t="n">
        <x:f>Assumptions!B7</x:f>
        <x:v>0.055</x:v>
      </x:c>
    </x:row>
    <x:row r="7" ht="24" customHeight="1">
      <x:c r="A7" s="6" t="str">
        <x:v>nwc</x:v>
      </x:c>
      <x:c r="B7" s="12" t="n">
        <x:f>Assumptions!B8</x:f>
        <x:v>0.04</x:v>
      </x:c>
      <x:c r="C7" s="12" t="n">
        <x:f>Assumptions!B8</x:f>
        <x:v>0.04</x:v>
      </x:c>
      <x:c r="D7" s="12" t="n">
        <x:f>Assumptions!B8</x:f>
        <x:v>0.04</x:v>
      </x:c>
      <x:c r="E7" s="12" t="n">
        <x:f>Assumptions!B8</x:f>
        <x:v>0.04</x:v>
      </x:c>
      <x:c r="F7" s="12" t="n">
        <x:f>Assumptions!B8</x:f>
        <x:v>0.04</x:v>
      </x:c>
    </x:row>
    <x:row r="8" ht="24" customHeight="1">
      <x:c r="A8" s="6" t="str">
        <x:v>rf</x:v>
      </x:c>
      <x:c r="B8" s="12" t="n">
        <x:f>Assumptions!B9</x:f>
        <x:v>0.065</x:v>
      </x:c>
      <x:c r="C8" s="12" t="n">
        <x:f>Assumptions!B9</x:f>
        <x:v>0.065</x:v>
      </x:c>
      <x:c r="D8" s="12" t="n">
        <x:f>Assumptions!B9</x:f>
        <x:v>0.065</x:v>
      </x:c>
      <x:c r="E8" s="12" t="n">
        <x:f>Assumptions!B9</x:f>
        <x:v>0.065</x:v>
      </x:c>
      <x:c r="F8" s="12" t="n">
        <x:f>Assumptions!B9</x:f>
        <x:v>0.065</x:v>
      </x:c>
    </x:row>
    <x:row r="9" ht="24" customHeight="1">
      <x:c r="A9" s="6" t="str">
        <x:v>beta</x:v>
      </x:c>
      <x:c r="B9" s="12" t="n">
        <x:f>Assumptions!B10</x:f>
        <x:v>0.9</x:v>
      </x:c>
      <x:c r="C9" s="12" t="n">
        <x:f>Assumptions!B10</x:f>
        <x:v>0.9</x:v>
      </x:c>
      <x:c r="D9" s="12" t="n">
        <x:f>Assumptions!B10</x:f>
        <x:v>0.9</x:v>
      </x:c>
      <x:c r="E9" s="12" t="n">
        <x:f>Assumptions!B10</x:f>
        <x:v>0.9</x:v>
      </x:c>
      <x:c r="F9" s="12" t="n">
        <x:f>Assumptions!B10</x:f>
        <x:v>0.9</x:v>
      </x:c>
    </x:row>
    <x:row r="10" ht="24" customHeight="1">
      <x:c r="A10" s="6" t="str">
        <x:v>erp</x:v>
      </x:c>
      <x:c r="B10" s="12" t="n">
        <x:f>Assumptions!B11</x:f>
        <x:v>0.065</x:v>
      </x:c>
      <x:c r="C10" s="12" t="n">
        <x:f>Assumptions!B11</x:f>
        <x:v>0.065</x:v>
      </x:c>
      <x:c r="D10" s="12" t="n">
        <x:f>Assumptions!B11</x:f>
        <x:v>0.065</x:v>
      </x:c>
      <x:c r="E10" s="12" t="n">
        <x:f>Assumptions!B11</x:f>
        <x:v>0.065</x:v>
      </x:c>
      <x:c r="F10" s="12" t="n">
        <x:f>Assumptions!B11</x:f>
        <x:v>0.065</x:v>
      </x:c>
    </x:row>
    <x:row r="11" ht="24" customHeight="1">
      <x:c r="A11" s="6" t="str">
        <x:v>kd</x:v>
      </x:c>
      <x:c r="B11" s="12" t="n">
        <x:f>Assumptions!B12</x:f>
        <x:v>0.085</x:v>
      </x:c>
      <x:c r="C11" s="12" t="n">
        <x:f>Assumptions!B12</x:f>
        <x:v>0.085</x:v>
      </x:c>
      <x:c r="D11" s="12" t="n">
        <x:f>Assumptions!B12</x:f>
        <x:v>0.085</x:v>
      </x:c>
      <x:c r="E11" s="12" t="n">
        <x:f>Assumptions!B12</x:f>
        <x:v>0.085</x:v>
      </x:c>
      <x:c r="F11" s="12" t="n">
        <x:f>Assumptions!B12</x:f>
        <x:v>0.085</x:v>
      </x:c>
    </x:row>
    <x:row r="12" ht="24" customHeight="1">
      <x:c r="A12" s="6" t="str">
        <x:v>g</x:v>
      </x:c>
      <x:c r="B12" s="12" t="n">
        <x:f>Assumptions!B13</x:f>
        <x:v>0.035</x:v>
      </x:c>
      <x:c r="C12" s="12" t="n">
        <x:f>Assumptions!B13</x:f>
        <x:v>0.035</x:v>
      </x:c>
      <x:c r="D12" s="12" t="n">
        <x:f>Assumptions!B13</x:f>
        <x:v>0.035</x:v>
      </x:c>
      <x:c r="E12" s="12" t="n">
        <x:f>Assumptions!B13</x:f>
        <x:v>0.035</x:v>
      </x:c>
      <x:c r="F12" s="12" t="n">
        <x:f>Assumptions!B13</x:f>
        <x:v>0.035</x:v>
      </x:c>
    </x:row>
    <x:row r="13" ht="24" customHeight="1">
      <x:c r="A13" s="6" t="str">
        <x:v>roic</x:v>
      </x:c>
      <x:c r="B13" s="12" t="n">
        <x:f>Assumptions!B14</x:f>
        <x:v>0.14</x:v>
      </x:c>
      <x:c r="C13" s="12" t="n">
        <x:f>Assumptions!B14</x:f>
        <x:v>0.14</x:v>
      </x:c>
      <x:c r="D13" s="12" t="n">
        <x:f>Assumptions!B14</x:f>
        <x:v>0.14</x:v>
      </x:c>
      <x:c r="E13" s="12" t="n">
        <x:f>Assumptions!B14</x:f>
        <x:v>0.14</x:v>
      </x:c>
      <x:c r="F13" s="12" t="n">
        <x:f>Assumptions!B14</x:f>
        <x:v>0.14</x:v>
      </x:c>
    </x:row>
    <x:row r="14" ht="24" customHeight="1">
      <x:c r="A14" s="6" t="str">
        <x:v>payout</x:v>
      </x:c>
      <x:c r="B14" s="12" t="n">
        <x:f>Assumptions!B15</x:f>
        <x:v>0.65</x:v>
      </x:c>
      <x:c r="C14" s="12" t="n">
        <x:f>Assumptions!B15</x:f>
        <x:v>0.65</x:v>
      </x:c>
      <x:c r="D14" s="12" t="n">
        <x:f>Assumptions!B15</x:f>
        <x:v>0.65</x:v>
      </x:c>
      <x:c r="E14" s="12" t="n">
        <x:f>Assumptions!B15</x:f>
        <x:v>0.65</x:v>
      </x:c>
      <x:c r="F14" s="12" t="n">
        <x:f>Assumptions!B15</x:f>
        <x:v>0.65</x:v>
      </x:c>
    </x:row>
    <x:row r="15" ht="24" customHeight="1">
      <x:c r="A15" s="6" t="str">
        <x:v>terminalRoe</x:v>
      </x:c>
      <x:c r="B15" s="12" t="n">
        <x:f>Assumptions!B16</x:f>
        <x:v>0.16</x:v>
      </x:c>
      <x:c r="C15" s="12" t="n">
        <x:f>Assumptions!B16</x:f>
        <x:v>0.16</x:v>
      </x:c>
      <x:c r="D15" s="12" t="n">
        <x:f>Assumptions!B16</x:f>
        <x:v>0.16</x:v>
      </x:c>
      <x:c r="E15" s="12" t="n">
        <x:f>Assumptions!B16</x:f>
        <x:v>0.16</x:v>
      </x:c>
      <x:c r="F15" s="12" t="n">
        <x:f>Assumptions!B16</x:f>
        <x:v>0.16</x:v>
      </x:c>
    </x:row>
    <x:row r="16" ht="24" customHeight="1">
      <x:c r="A16" s="6" t="str">
        <x:v>buy</x:v>
      </x:c>
      <x:c r="B16" s="12" t="n">
        <x:f>Assumptions!B17</x:f>
        <x:v>0.15</x:v>
      </x:c>
      <x:c r="C16" s="12" t="n">
        <x:f>Assumptions!B17</x:f>
        <x:v>0.15</x:v>
      </x:c>
      <x:c r="D16" s="12" t="n">
        <x:f>Assumptions!B17</x:f>
        <x:v>0.15</x:v>
      </x:c>
      <x:c r="E16" s="12" t="n">
        <x:f>Assumptions!B17</x:f>
        <x:v>0.15</x:v>
      </x:c>
      <x:c r="F16" s="12" t="n">
        <x:f>Assumptions!B17</x:f>
        <x:v>0.15</x:v>
      </x:c>
    </x:row>
    <x:row r="17" ht="24" customHeight="1">
      <x:c r="A17" s="6" t="str">
        <x:v>sell</x:v>
      </x:c>
      <x:c r="B17" s="12" t="n">
        <x:f>Assumptions!B18</x:f>
        <x:v>-0.15</x:v>
      </x:c>
      <x:c r="C17" s="12" t="n">
        <x:f>Assumptions!B18</x:f>
        <x:v>-0.15</x:v>
      </x:c>
      <x:c r="D17" s="12" t="n">
        <x:f>Assumptions!B18</x:f>
        <x:v>-0.15</x:v>
      </x:c>
      <x:c r="E17" s="12" t="n">
        <x:f>Assumptions!B18</x:f>
        <x:v>-0.15</x:v>
      </x:c>
      <x:c r="F17" s="12" t="n">
        <x:f>Assumptions!B18</x:f>
        <x:v>-0.15</x:v>
      </x:c>
    </x:row>
  </x:sheetData>
  <x:pageMargins left="0.7" right="0.7" top="0.75" bottom="0.75" header="0.3" footer="0.3"/>
</x:worksheet>
</file>