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7d347257044e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94a2a53d2844af4"/>
    <x:sheet xmlns:r="http://schemas.openxmlformats.org/officeDocument/2006/relationships" name="Assumptions" sheetId="2" r:id="R7962ccefdd444eef"/>
    <x:sheet xmlns:r="http://schemas.openxmlformats.org/officeDocument/2006/relationships" name="Driver Paths" sheetId="3" r:id="R5e7d7a204abf436c"/>
    <x:sheet xmlns:r="http://schemas.openxmlformats.org/officeDocument/2006/relationships" name="Forecast" sheetId="4" r:id="R21d1656bf5224065"/>
    <x:sheet xmlns:r="http://schemas.openxmlformats.org/officeDocument/2006/relationships" name="Relative" sheetId="5" r:id="R5e78482b95f842ad"/>
    <x:sheet xmlns:r="http://schemas.openxmlformats.org/officeDocument/2006/relationships" name="Sensitivity" sheetId="6" r:id="R8c1b51dd72664751"/>
    <x:sheet xmlns:r="http://schemas.openxmlformats.org/officeDocument/2006/relationships" name="Inputs" sheetId="7" r:id="R438cb6f8e05b4d6c"/>
    <x:sheet xmlns:r="http://schemas.openxmlformats.org/officeDocument/2006/relationships" name="Historical" sheetId="8" r:id="R24eca7375bbb4a29"/>
    <x:sheet xmlns:r="http://schemas.openxmlformats.org/officeDocument/2006/relationships" name="Peers" sheetId="9" r:id="R7ba78ef302f04c18"/>
    <x:sheet xmlns:r="http://schemas.openxmlformats.org/officeDocument/2006/relationships" name="Comps" sheetId="10" r:id="R337fb4b589ca4de1"/>
    <x:sheet xmlns:r="http://schemas.openxmlformats.org/officeDocument/2006/relationships" name="Audit" sheetId="11" r:id="R85ebbf361afd45a3"/>
    <x:sheet xmlns:r="http://schemas.openxmlformats.org/officeDocument/2006/relationships" name="Sources" sheetId="12" r:id="R7c1999bf70f646c8"/>
    <x:sheet xmlns:r="http://schemas.openxmlformats.org/officeDocument/2006/relationships" name="Instructions" sheetId="13" r:id="Rbc304eef65c84020"/>
    <x:sheet xmlns:r="http://schemas.openxmlformats.org/officeDocument/2006/relationships" name="Model Policy" sheetId="14" r:id="Raa33a6e18b274c3d"/>
    <x:sheet xmlns:r="http://schemas.openxmlformats.org/officeDocument/2006/relationships" name="Evidence" sheetId="15" r:id="R1d5e838184d646b9"/>
    <x:sheet xmlns:r="http://schemas.openxmlformats.org/officeDocument/2006/relationships" name="Reconciliation" sheetId="16" r:id="R476368f28f244b90"/>
    <x:sheet xmlns:r="http://schemas.openxmlformats.org/officeDocument/2006/relationships" name="Derived Calculations" sheetId="17" r:id="R2d78f7de5d634196"/>
    <x:sheet xmlns:r="http://schemas.openxmlformats.org/officeDocument/2006/relationships" name="Statement History" sheetId="18" r:id="R0c6414b6db5949b9"/>
    <x:sheet xmlns:r="http://schemas.openxmlformats.org/officeDocument/2006/relationships" name="FX" sheetId="19" r:id="Ra0885e7870cc4da0"/>
    <x:sheet xmlns:r="http://schemas.openxmlformats.org/officeDocument/2006/relationships" name="Profile" sheetId="20" r:id="Rd38b2d7fcae04da9"/>
    <x:sheet xmlns:r="http://schemas.openxmlformats.org/officeDocument/2006/relationships" name="TTM Components" sheetId="21" r:id="R62e12bdd282c4325"/>
    <x:sheet xmlns:r="http://schemas.openxmlformats.org/officeDocument/2006/relationships" name="Valuation Sensitivity" sheetId="22" r:id="Rd4900584ba664e54"/>
    <x:sheet xmlns:r="http://schemas.openxmlformats.org/officeDocument/2006/relationships" name="Tornado" sheetId="23" r:id="Ra2c9dc0068834904"/>
    <x:sheet xmlns:r="http://schemas.openxmlformats.org/officeDocument/2006/relationships" name="Assumption Register" sheetId="24" r:id="Rd71d3e8e8a9c4a58"/>
    <x:sheet xmlns:r="http://schemas.openxmlformats.org/officeDocument/2006/relationships" name="Forecast Timeline" sheetId="25" r:id="R2c8b637c151a471b"/>
    <x:sheet xmlns:r="http://schemas.openxmlformats.org/officeDocument/2006/relationships" name="Release" sheetId="26" r:id="Rbc7ec055039c4627"/>
    <x:sheet xmlns:r="http://schemas.openxmlformats.org/officeDocument/2006/relationships" name="Decision" sheetId="27" r:id="R9a9d91580b2b4c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;(#,##0.00);&quot;-&quot;"/>
    <x:numFmt numFmtId="201" formatCode="@"/>
    <x:numFmt numFmtId="202" formatCode="0.0%"/>
    <x:numFmt numFmtId="203" formatCode="0.00"/>
  </x:numFmts>
  <x:fonts count="6">
    <x:font>
      <x:sz val="11"/>
      <x:name val="Carlito"/>
    </x:font>
    <x:font>
      <x:sz val="10"/>
      <x:color rgb="FF21333D"/>
      <x:name val="Arial"/>
    </x:font>
    <x:font>
      <x:b/>
      <x:sz val="11"/>
      <x:color rgb="FFFFFFFF"/>
      <x:name val="Arial"/>
    </x:font>
    <x:font>
      <x:sz val="10"/>
      <x:color rgb="FF21784F"/>
      <x:name val="Arial"/>
    </x:font>
    <x:font>
      <x:b/>
      <x:sz val="14"/>
      <x:color rgb="FF21333D"/>
      <x:name val="Arial"/>
    </x:font>
    <x:font>
      <x:sz val="10"/>
      <x:color rgb="FF1A5BB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2B36"/>
      </x:patternFill>
    </x:fill>
    <x:fill>
      <x:patternFill patternType="solid">
        <x:fgColor rgb="FFFFF8E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1" fontId="2" fillId="2" borderId="0" xfId="0" applyNumberFormat="1" applyFont="1" applyFill="1" applyBorder="1"/>
    <x:xf numFmtId="201" fontId="1" fillId="0" borderId="0" xfId="0" applyNumberFormat="1" applyFont="1" applyFill="1" applyBorder="1"/>
    <x:xf numFmtId="200" fontId="3" fillId="0" borderId="0" xfId="0" applyNumberFormat="1" applyFont="1" applyFill="1" applyBorder="1"/>
    <x:xf numFmtId="202" fontId="1" fillId="0" borderId="0" xfId="0" applyNumberFormat="1" applyFont="1" applyFill="1" applyBorder="1"/>
    <x:xf numFmtId="200" fontId="4" fillId="0" borderId="0" xfId="0" applyNumberFormat="1" applyFont="1" applyFill="1" applyBorder="1"/>
    <x:xf numFmtId="202" fontId="4" fillId="0" borderId="0" xfId="0" applyNumberFormat="1" applyFont="1" applyFill="1" applyBorder="1"/>
    <x:xf numFmtId="201" fontId="1" fillId="0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/>
    <x:xf numFmtId="200" fontId="5" fillId="3" borderId="0" xfId="0" applyNumberFormat="1" applyFont="1" applyFill="1" applyBorder="1"/>
    <x:xf numFmtId="202" fontId="5" fillId="3" borderId="0" xfId="0" applyNumberFormat="1" applyFont="1" applyFill="1" applyBorder="1"/>
    <x:xf numFmtId="203" fontId="5" fillId="3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201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a2f18a04754d17" /><Relationship Type="http://schemas.openxmlformats.org/officeDocument/2006/relationships/theme" Target="/xl/theme/theme1.xml" Id="R0c952aa36b494fa9" /><Relationship Type="http://schemas.openxmlformats.org/officeDocument/2006/relationships/sharedStrings" Target="/xl/sharedStrings.xml" Id="Rabaeaab57c5041a8" /><Relationship Type="http://schemas.openxmlformats.org/officeDocument/2006/relationships/worksheet" Target="/xl/worksheets/sheet1.xml" Id="Rb94a2a53d2844af4" /><Relationship Type="http://schemas.openxmlformats.org/officeDocument/2006/relationships/worksheet" Target="/xl/worksheets/sheet2.xml" Id="R7962ccefdd444eef" /><Relationship Type="http://schemas.openxmlformats.org/officeDocument/2006/relationships/worksheet" Target="/xl/worksheets/sheet3.xml" Id="R5e7d7a204abf436c" /><Relationship Type="http://schemas.openxmlformats.org/officeDocument/2006/relationships/worksheet" Target="/xl/worksheets/sheet4.xml" Id="R21d1656bf5224065" /><Relationship Type="http://schemas.openxmlformats.org/officeDocument/2006/relationships/worksheet" Target="/xl/worksheets/sheet5.xml" Id="R5e78482b95f842ad" /><Relationship Type="http://schemas.openxmlformats.org/officeDocument/2006/relationships/worksheet" Target="/xl/worksheets/sheet6.xml" Id="R8c1b51dd72664751" /><Relationship Type="http://schemas.openxmlformats.org/officeDocument/2006/relationships/worksheet" Target="/xl/worksheets/sheet7.xml" Id="R438cb6f8e05b4d6c" /><Relationship Type="http://schemas.openxmlformats.org/officeDocument/2006/relationships/worksheet" Target="/xl/worksheets/sheet8.xml" Id="R24eca7375bbb4a29" /><Relationship Type="http://schemas.openxmlformats.org/officeDocument/2006/relationships/worksheet" Target="/xl/worksheets/sheet9.xml" Id="R7ba78ef302f04c18" /><Relationship Type="http://schemas.openxmlformats.org/officeDocument/2006/relationships/worksheet" Target="/xl/worksheets/sheet10.xml" Id="R337fb4b589ca4de1" /><Relationship Type="http://schemas.openxmlformats.org/officeDocument/2006/relationships/worksheet" Target="/xl/worksheets/sheet11.xml" Id="R85ebbf361afd45a3" /><Relationship Type="http://schemas.openxmlformats.org/officeDocument/2006/relationships/worksheet" Target="/xl/worksheets/sheet12.xml" Id="R7c1999bf70f646c8" /><Relationship Type="http://schemas.openxmlformats.org/officeDocument/2006/relationships/worksheet" Target="/xl/worksheets/sheet13.xml" Id="Rbc304eef65c84020" /><Relationship Type="http://schemas.openxmlformats.org/officeDocument/2006/relationships/worksheet" Target="/xl/worksheets/sheet14.xml" Id="Raa33a6e18b274c3d" /><Relationship Type="http://schemas.openxmlformats.org/officeDocument/2006/relationships/worksheet" Target="/xl/worksheets/sheet15.xml" Id="R1d5e838184d646b9" /><Relationship Type="http://schemas.openxmlformats.org/officeDocument/2006/relationships/worksheet" Target="/xl/worksheets/sheet16.xml" Id="R476368f28f244b90" /><Relationship Type="http://schemas.openxmlformats.org/officeDocument/2006/relationships/worksheet" Target="/xl/worksheets/sheet17.xml" Id="R2d78f7de5d634196" /><Relationship Type="http://schemas.openxmlformats.org/officeDocument/2006/relationships/worksheet" Target="/xl/worksheets/sheet18.xml" Id="R0c6414b6db5949b9" /><Relationship Type="http://schemas.openxmlformats.org/officeDocument/2006/relationships/worksheet" Target="/xl/worksheets/sheet19.xml" Id="Ra0885e7870cc4da0" /><Relationship Type="http://schemas.openxmlformats.org/officeDocument/2006/relationships/worksheet" Target="/xl/worksheets/sheet20.xml" Id="Rd38b2d7fcae04da9" /><Relationship Type="http://schemas.openxmlformats.org/officeDocument/2006/relationships/worksheet" Target="/xl/worksheets/sheet21.xml" Id="R62e12bdd282c4325" /><Relationship Type="http://schemas.openxmlformats.org/officeDocument/2006/relationships/worksheet" Target="/xl/worksheets/sheet22.xml" Id="Rd4900584ba664e54" /><Relationship Type="http://schemas.openxmlformats.org/officeDocument/2006/relationships/worksheet" Target="/xl/worksheets/sheet23.xml" Id="Ra2c9dc0068834904" /><Relationship Type="http://schemas.openxmlformats.org/officeDocument/2006/relationships/worksheet" Target="/xl/worksheets/sheet24.xml" Id="Rd71d3e8e8a9c4a58" /><Relationship Type="http://schemas.openxmlformats.org/officeDocument/2006/relationships/worksheet" Target="/xl/worksheets/sheet25.xml" Id="R2c8b637c151a471b" /><Relationship Type="http://schemas.openxmlformats.org/officeDocument/2006/relationships/worksheet" Target="/xl/worksheets/sheet26.xml" Id="Rbc7ec055039c4627" /><Relationship Type="http://schemas.openxmlformats.org/officeDocument/2006/relationships/worksheet" Target="/xl/worksheets/sheet27.xml" Id="R9a9d91580b2b4c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87" hidden="0" customWidth="1"/>
  </x:cols>
  <x:sheetData>
    <x:row r="1" ht="23" customHeight="1">
      <x:c r="A1" s="5" t="str">
        <x:v>RALVEN / VALUATION SUMMARY</x:v>
      </x:c>
      <x:c r="B1" s="4"/>
    </x:row>
    <x:row r="2" ht="23" customHeight="1">
      <x:c r="A2" s="6" t="str">
        <x:v>Company</x:v>
      </x:c>
      <x:c r="B2" s="2" t="str">
        <x:f>Inputs!B4</x:f>
        <x:v>PT Bank Mandiri (Persero) Tbk</x:v>
      </x:c>
    </x:row>
    <x:row r="3" ht="23" customHeight="1">
      <x:c r="A3" s="6" t="str">
        <x:v>Ticker</x:v>
      </x:c>
      <x:c r="B3" s="2" t="str">
        <x:f>Inputs!B3</x:f>
        <x:v>BMRI</x:v>
      </x:c>
    </x:row>
    <x:row r="4" ht="23" customHeight="1">
      <x:c r="A4" s="6" t="str">
        <x:v>Valuation date</x:v>
      </x:c>
      <x:c r="B4" s="2" t="str">
        <x:f>Inputs!B10</x:f>
        <x:v>2026-10-25</x:v>
      </x:c>
    </x:row>
    <x:row r="5" ht="23" customHeight="1">
      <x:c r="A5" s="6" t="str">
        <x:v>Data mode</x:v>
      </x:c>
      <x:c r="B5" s="2" t="str">
        <x:f>Inputs!B24</x:f>
        <x:v>live</x:v>
      </x:c>
    </x:row>
    <x:row r="6" ht="23" customHeight="1">
      <x:c r="A6" s="6" t="str">
        <x:v>Market price</x:v>
      </x:c>
      <x:c r="B6" s="2" t="n">
        <x:f>Inputs!B11</x:f>
        <x:v>3900</x:v>
      </x:c>
    </x:row>
    <x:row r="7" ht="23" customHeight="1">
      <x:c r="A7" s="6" t="str">
        <x:v>Intrinsic IDR / share</x:v>
      </x:c>
      <x:c r="B7" s="2" t="n">
        <x:f>Forecast!B33</x:f>
        <x:v>6446.916576382434</x:v>
      </x:c>
    </x:row>
    <x:row r="8" ht="23" customHeight="1">
      <x:c r="A8" s="6" t="str">
        <x:v>Relative IDR / share</x:v>
      </x:c>
      <x:c r="B8" s="2" t="n">
        <x:f>Relative!B5</x:f>
        <x:v>4049.6923387661427</x:v>
      </x:c>
    </x:row>
    <x:row r="9" ht="23" customHeight="1">
      <x:c r="A9" s="6" t="str">
        <x:v>Intrinsic / DDM weight</x:v>
      </x:c>
      <x:c r="B9" s="8" t="n">
        <x:f>IF(AND(Forecast!B32&gt;0,Inputs!B17&gt;0),IF(Inputs!B15&gt;0,IF(COUNT(Relative!D3:D4)=0,1,.5),0),0)</x:f>
        <x:v>0.5</x:v>
      </x:c>
    </x:row>
    <x:row r="10" ht="23" customHeight="1">
      <x:c r="A10" s="6" t="str">
        <x:v>Fair value</x:v>
      </x:c>
      <x:c r="B10" s="9" t="n">
        <x:f>IF(B9=1,B7,IF(AND(B9=0,COUNT(Relative!D3:D4)=0),"",B7*B9+B8*(1-B9)))</x:f>
        <x:v>5248.304457574288</x:v>
      </x:c>
    </x:row>
    <x:row r="11" ht="23" customHeight="1">
      <x:c r="A11" s="6" t="str">
        <x:v>Upside / downside</x:v>
      </x:c>
      <x:c r="B11" s="10" t="n">
        <x:f>IF(ISNUMBER(B10),B10/B6-1,"")</x:f>
        <x:v>0.3457190916857149</x:v>
      </x:c>
    </x:row>
    <x:row r="12" ht="23" customHeight="1">
      <x:c r="A12" s="6" t="str">
        <x:v>Recommendation</x:v>
      </x:c>
      <x:c r="B12" s="9" t="str">
        <x:f>IF(AND('Model Policy'!B2=1,IFERROR(AND(ISNUMBER(Inputs!B11),ISNUMBER(Inputs!B12),Inputs!B11&gt;0,Inputs!B12&gt;0,COUNT(Assumptions!B3:B18)=16,Assumptions!B5&gt;=0,Assumptions!B5&lt;1,Assumptions!B3&gt;-0.5,Assumptions!B3&lt;1,Assumptions!B4&gt;0,Assumptions!B4&lt;1,Assumptions!B6&gt;=0,Assumptions!B7&gt;=0,Assumptions!B8&gt;=0,Assumptions!B8&lt;=1,Assumptions!B15&gt;0,Assumptions!B15&lt;=1,Assumptions!B9&gt;=0,Assumptions!B10&gt;=0,Assumptions!B11&gt;0,Assumptions!B12&gt;=0,Assumptions!B13&gt;=0,Assumptions!B13&lt;0.1,Assumptions!B14 &gt;0,Assumptions!B16&gt;0,Assumptions!B17&gt;0,Assumptions!B18&lt;0,Inputs!B6="IDR",Inputs!B7="IDR bn / shares bn",DATEVALUE(Inputs!B9)&lt;=DATEVALUE(Inputs!B10),DATEVALUE(Inputs!B10)-DATEVALUE(Inputs!B9)&lt;=7,DATEVALUE(Inputs!B8)&lt;=DATEVALUE(Inputs!B10),DATEVALUE(Inputs!B10)-DATEVALUE(Inputs!B8)&lt;=550,ISNUMBER(Inputs!B15),Inputs!B15&gt;0,ISNUMBER(Inputs!B17),Inputs!B17&gt;0,'Driver Paths'!B2&gt;-0.5,'Driver Paths'!B2&lt;1,'Driver Paths'!B3&gt;0,'Driver Paths'!B3&lt;1,'Driver Paths'!B14&gt;0,'Driver Paths'!B14&lt;=1,'Driver Paths'!B6&gt;=0,'Driver Paths'!B5&gt;=0,'Driver Paths'!B7&gt;=0,'Driver Paths'!B7&lt;=1,'Driver Paths'!B4&gt;=0,'Driver Paths'!B4&lt;1,'Driver Paths'!C2&gt;-0.5,'Driver Paths'!C2&lt;1,'Driver Paths'!C3&gt;0,'Driver Paths'!C3&lt;1,'Driver Paths'!C14&gt;0,'Driver Paths'!C14&lt;=1,'Driver Paths'!C6&gt;=0,'Driver Paths'!C5&gt;=0,'Driver Paths'!C7&gt;=0,'Driver Paths'!C7&lt;=1,'Driver Paths'!C4&gt;=0,'Driver Paths'!C4&lt;1,'Driver Paths'!D2&gt;-0.5,'Driver Paths'!D2&lt;1,'Driver Paths'!D3&gt;0,'Driver Paths'!D3&lt;1,'Driver Paths'!D14&gt;0,'Driver Paths'!D14&lt;=1,'Driver Paths'!D6&gt;=0,'Driver Paths'!D5&gt;=0,'Driver Paths'!D7&gt;=0,'Driver Paths'!D7&lt;=1,'Driver Paths'!D4&gt;=0,'Driver Paths'!D4&lt;1,'Driver Paths'!E2&gt;-0.5,'Driver Paths'!E2&lt;1,'Driver Paths'!E3&gt;0,'Driver Paths'!E3&lt;1,'Driver Paths'!E14&gt;0,'Driver Paths'!E14&lt;=1,'Driver Paths'!E6&gt;=0,'Driver Paths'!E5&gt;=0,'Driver Paths'!E7&gt;=0,'Driver Paths'!E7&lt;=1,'Driver Paths'!E4&gt;=0,'Driver Paths'!E4&lt;1,'Driver Paths'!F2&gt;-0.5,'Driver Paths'!F2&lt;1,'Driver Paths'!F3&gt;0,'Driver Paths'!F3&lt;1,'Driver Paths'!F14&gt;0,'Driver Paths'!F14&lt;=1,'Driver Paths'!F6&gt;=0,'Driver Paths'!F5&gt;=0,'Driver Paths'!F7&gt;=0,'Driver Paths'!F7&lt;=1,'Driver Paths'!F4&gt;=0,'Driver Paths'!F4&lt;1),FALSE)),IF(OR(NOT(ISNUMBER(B10)),B10&lt;=0,Forecast!B24&lt;=Assumptions!B13+0.005,Assumptions!B13&gt;=Forecast!B26,Inputs!B12&lt;=0,B6&lt;=0),"WAIT",IF(B11&gt;=Assumptions!B17,"BUY",IF(B11&lt;=Assumptions!B18,"SELL","HOLD"))),"WAIT")</x:f>
        <x:v>BUY</x:v>
      </x:c>
    </x:row>
    <x:row r="13" ht="23" customHeight="1">
      <x:c r="A13" s="6" t="str">
        <x:v>Market capitalization (IDR bn)</x:v>
      </x:c>
      <x:c r="B13" s="2" t="n">
        <x:f>Forecast!B22</x:f>
        <x:v>360359.9999844</x:v>
      </x:c>
    </x:row>
    <x:row r="14" ht="23" customHeight="1">
      <x:c r="A14" s="6" t="str">
        <x:v>Equity-value basis</x:v>
      </x:c>
      <x:c r="B14" s="11" t="str">
        <x:v>DDM values bank common equity directly; no corporate net-debt bridge.</x:v>
      </x:c>
    </x:row>
    <x:row r="15" ht="44" customHeight="1">
      <x:c r="A15" s="6" t="str">
        <x:v>Method rule</x:v>
      </x:c>
      <x:c r="B15" s="11" t="str">
        <x:v>Financial services: use cost of equity, dividend discount and P/E + P/B. Customer deposits are not subtracted as corporate debt. Intrinsic and relative methods receive equal weight when both are eligible.</x:v>
      </x:c>
    </x:row>
    <x:row r="16" ht="44" customHeight="1">
      <x:c r="A16" s="6" t="str">
        <x:v>Scope</x:v>
      </x:c>
      <x:c r="B16" s="11" t="str">
        <x:v>Forecast and assumption edits recalculate in Excel. Re-upload after editing source classification, historical stability, peer membership or dates for full validation.</x:v>
      </x:c>
    </x:row>
    <x:row r="17" ht="23" customHeight="1">
      <x:c r="A17" s="6" t="str">
        <x:v>Scenario bear (snapshot)</x:v>
      </x:c>
      <x:c r="B17" s="2" t="n">
        <x:v>4162.108752626527</x:v>
      </x:c>
    </x:row>
    <x:row r="18" ht="23" customHeight="1">
      <x:c r="A18" s="6" t="str">
        <x:v>Scenario base (linked)</x:v>
      </x:c>
      <x:c r="B18" s="2" t="n">
        <x:f>B10</x:f>
        <x:v>5248.304457574288</x:v>
      </x:c>
    </x:row>
    <x:row r="19" ht="23" customHeight="1">
      <x:c r="A19" s="6" t="str">
        <x:v>Scenario bull (snapshot)</x:v>
      </x:c>
      <x:c r="B19" s="2" t="n">
        <x:v>6576.007457256135</x:v>
      </x:c>
    </x:row>
    <x:row r="20" ht="31" customHeight="1">
      <x:c r="A20" s="6" t="str">
        <x:v>Range</x:v>
      </x:c>
      <x:c r="B20" s="11" t="str">
        <x:v>Scenario envelope, not a statistical confidence interval. Snapshots retain export-time scenarios.</x:v>
      </x:c>
    </x:row>
    <x:row r="21" ht="23" customHeight="1">
      <x:c r="A21" s="6" t="str">
        <x:v>Model version</x:v>
      </x:c>
      <x:c r="B21" s="6" t="str">
        <x:v>5.0.1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3" hidden="0" customWidth="1"/>
    <x:col min="3" max="3" width="23" hidden="0" customWidth="1"/>
  </x:cols>
  <x:sheetData>
    <x:row r="1" ht="23" customHeight="1">
      <x:c r="A1" s="5" t="str">
        <x:v>RALVEN / ASSUMPTIONS</x:v>
      </x:c>
      <x:c r="B1" s="4"/>
      <x:c r="C1" s="4"/>
    </x:row>
    <x:row r="2" ht="23" customHeight="1">
      <x:c r="A2" s="6" t="str">
        <x:v>Parameter</x:v>
      </x:c>
      <x:c r="B2" s="6" t="str">
        <x:v>Value</x:v>
      </x:c>
      <x:c r="C2" s="6" t="str">
        <x:v>Applicability</x:v>
      </x:c>
    </x:row>
    <x:row r="3" ht="31" customHeight="1">
      <x:c r="A3" s="6" t="str">
        <x:v>growth</x:v>
      </x:c>
      <x:c r="B3" s="14" t="n">
        <x:v>0.06</x:v>
      </x:c>
      <x:c r="C3" s="11" t="str">
        <x:v>Equity valuation / decision input</x:v>
      </x:c>
    </x:row>
    <x:row r="4" ht="23" customHeight="1">
      <x:c r="A4" s="6" t="str">
        <x:v>margin</x:v>
      </x:c>
      <x:c r="B4" s="14" t="n">
        <x:v>0.805884393252461</x:v>
      </x:c>
      <x:c r="C4" s="6" t="str">
        <x:v>Not used by bank DDM</x:v>
      </x:c>
    </x:row>
    <x:row r="5" ht="23" customHeight="1">
      <x:c r="A5" s="6" t="str">
        <x:v>tax</x:v>
      </x:c>
      <x:c r="B5" s="14" t="n">
        <x:v>0.22</x:v>
      </x:c>
      <x:c r="C5" s="6" t="str">
        <x:v>Not used by bank DDM</x:v>
      </x:c>
    </x:row>
    <x:row r="6" ht="23" customHeight="1">
      <x:c r="A6" s="6" t="str">
        <x:v>da</x:v>
      </x:c>
      <x:c r="B6" s="14" t="n">
        <x:v>0.03</x:v>
      </x:c>
      <x:c r="C6" s="6" t="str">
        <x:v>Not used by bank DDM</x:v>
      </x:c>
    </x:row>
    <x:row r="7" ht="23" customHeight="1">
      <x:c r="A7" s="6" t="str">
        <x:v>capex</x:v>
      </x:c>
      <x:c r="B7" s="14" t="n">
        <x:v>0.055</x:v>
      </x:c>
      <x:c r="C7" s="6" t="str">
        <x:v>Not used by bank DDM</x:v>
      </x:c>
    </x:row>
    <x:row r="8" ht="23" customHeight="1">
      <x:c r="A8" s="6" t="str">
        <x:v>nwc</x:v>
      </x:c>
      <x:c r="B8" s="14" t="n">
        <x:v>0.04</x:v>
      </x:c>
      <x:c r="C8" s="6" t="str">
        <x:v>Not used by bank DDM</x:v>
      </x:c>
    </x:row>
    <x:row r="9" ht="31" customHeight="1">
      <x:c r="A9" s="6" t="str">
        <x:v>rf</x:v>
      </x:c>
      <x:c r="B9" s="14" t="n">
        <x:v>0.065</x:v>
      </x:c>
      <x:c r="C9" s="11" t="str">
        <x:v>Equity valuation / decision input</x:v>
      </x:c>
    </x:row>
    <x:row r="10" ht="31" customHeight="1">
      <x:c r="A10" s="6" t="str">
        <x:v>beta</x:v>
      </x:c>
      <x:c r="B10" s="15" t="n">
        <x:v>0.9</x:v>
      </x:c>
      <x:c r="C10" s="11" t="str">
        <x:v>Equity valuation / decision input</x:v>
      </x:c>
    </x:row>
    <x:row r="11" ht="31" customHeight="1">
      <x:c r="A11" s="6" t="str">
        <x:v>erp</x:v>
      </x:c>
      <x:c r="B11" s="14" t="n">
        <x:v>0.065</x:v>
      </x:c>
      <x:c r="C11" s="11" t="str">
        <x:v>Equity valuation / decision input</x:v>
      </x:c>
    </x:row>
    <x:row r="12" ht="23" customHeight="1">
      <x:c r="A12" s="6" t="str">
        <x:v>kd</x:v>
      </x:c>
      <x:c r="B12" s="14" t="n">
        <x:v>0.085</x:v>
      </x:c>
      <x:c r="C12" s="6" t="str">
        <x:v>Not used by bank DDM</x:v>
      </x:c>
    </x:row>
    <x:row r="13" ht="31" customHeight="1">
      <x:c r="A13" s="6" t="str">
        <x:v>g</x:v>
      </x:c>
      <x:c r="B13" s="14" t="n">
        <x:v>0.035</x:v>
      </x:c>
      <x:c r="C13" s="11" t="str">
        <x:v>Equity valuation / decision input</x:v>
      </x:c>
    </x:row>
    <x:row r="14" ht="23" customHeight="1">
      <x:c r="A14" s="6" t="str">
        <x:v>roic</x:v>
      </x:c>
      <x:c r="B14" s="14" t="n">
        <x:v>0.14</x:v>
      </x:c>
      <x:c r="C14" s="6" t="str">
        <x:v>Not used by bank DDM</x:v>
      </x:c>
    </x:row>
    <x:row r="15" ht="31" customHeight="1">
      <x:c r="A15" s="6" t="str">
        <x:v>payout</x:v>
      </x:c>
      <x:c r="B15" s="14" t="n">
        <x:v>0.65</x:v>
      </x:c>
      <x:c r="C15" s="11" t="str">
        <x:v>Equity valuation / decision input</x:v>
      </x:c>
    </x:row>
    <x:row r="16" ht="31" customHeight="1">
      <x:c r="A16" s="6" t="str">
        <x:v>terminalRoe</x:v>
      </x:c>
      <x:c r="B16" s="14" t="n">
        <x:v>0.16</x:v>
      </x:c>
      <x:c r="C16" s="11" t="str">
        <x:v>Equity valuation / decision input</x:v>
      </x:c>
    </x:row>
    <x:row r="17" ht="31" customHeight="1">
      <x:c r="A17" s="6" t="str">
        <x:v>buy</x:v>
      </x:c>
      <x:c r="B17" s="14" t="n">
        <x:v>0.15</x:v>
      </x:c>
      <x:c r="C17" s="11" t="str">
        <x:v>Equity valuation / decision input</x:v>
      </x:c>
    </x:row>
    <x:row r="18" ht="31" customHeight="1">
      <x:c r="A18" s="6" t="str">
        <x:v>sell</x:v>
      </x:c>
      <x:c r="B18" s="14" t="n">
        <x:v>-0.15</x:v>
      </x:c>
      <x:c r="C18" s="11" t="str">
        <x:v>Equity valuation / decision input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23" customHeight="1">
      <x:c r="A1" s="5" t="str">
        <x:v>Driver / selected annual value</x:v>
      </x:c>
      <x:c r="B1" s="5" t="str">
        <x:v>Y1</x:v>
      </x:c>
      <x:c r="C1" s="5" t="str">
        <x:v>Y2</x:v>
      </x:c>
      <x:c r="D1" s="5" t="str">
        <x:v>Y3</x:v>
      </x:c>
      <x:c r="E1" s="5" t="str">
        <x:v>Y4</x:v>
      </x:c>
      <x:c r="F1" s="5" t="str">
        <x:v>Y5</x:v>
      </x:c>
    </x:row>
    <x:row r="2" ht="23" customHeight="1">
      <x:c r="A2" s="6" t="str">
        <x:v>growth</x:v>
      </x:c>
      <x:c r="B2" s="16" t="n">
        <x:f>Assumptions!B3</x:f>
        <x:v>0.06</x:v>
      </x:c>
      <x:c r="C2" s="16" t="n">
        <x:f>Assumptions!B3</x:f>
        <x:v>0.06</x:v>
      </x:c>
      <x:c r="D2" s="16" t="n">
        <x:f>Assumptions!B3</x:f>
        <x:v>0.06</x:v>
      </x:c>
      <x:c r="E2" s="16" t="n">
        <x:f>Assumptions!B3</x:f>
        <x:v>0.06</x:v>
      </x:c>
      <x:c r="F2" s="16" t="n">
        <x:f>Assumptions!B3</x:f>
        <x:v>0.06</x:v>
      </x:c>
    </x:row>
    <x:row r="3" ht="23" customHeight="1">
      <x:c r="A3" s="6" t="str">
        <x:v>margin</x:v>
      </x:c>
      <x:c r="B3" s="16" t="n">
        <x:f>Assumptions!B4</x:f>
        <x:v>0.805884393252461</x:v>
      </x:c>
      <x:c r="C3" s="16" t="n">
        <x:f>Assumptions!B4</x:f>
        <x:v>0.805884393252461</x:v>
      </x:c>
      <x:c r="D3" s="16" t="n">
        <x:f>Assumptions!B4</x:f>
        <x:v>0.805884393252461</x:v>
      </x:c>
      <x:c r="E3" s="16" t="n">
        <x:f>Assumptions!B4</x:f>
        <x:v>0.805884393252461</x:v>
      </x:c>
      <x:c r="F3" s="16" t="n">
        <x:f>Assumptions!B4</x:f>
        <x:v>0.805884393252461</x:v>
      </x:c>
    </x:row>
    <x:row r="4" ht="23" customHeight="1">
      <x:c r="A4" s="6" t="str">
        <x:v>tax</x:v>
      </x:c>
      <x:c r="B4" s="16" t="n">
        <x:f>Assumptions!B5</x:f>
        <x:v>0.22</x:v>
      </x:c>
      <x:c r="C4" s="16" t="n">
        <x:f>Assumptions!B5</x:f>
        <x:v>0.22</x:v>
      </x:c>
      <x:c r="D4" s="16" t="n">
        <x:f>Assumptions!B5</x:f>
        <x:v>0.22</x:v>
      </x:c>
      <x:c r="E4" s="16" t="n">
        <x:f>Assumptions!B5</x:f>
        <x:v>0.22</x:v>
      </x:c>
      <x:c r="F4" s="16" t="n">
        <x:f>Assumptions!B5</x:f>
        <x:v>0.22</x:v>
      </x:c>
    </x:row>
    <x:row r="5" ht="23" customHeight="1">
      <x:c r="A5" s="6" t="str">
        <x:v>da</x:v>
      </x:c>
      <x:c r="B5" s="16" t="n">
        <x:f>Assumptions!B6</x:f>
        <x:v>0.03</x:v>
      </x:c>
      <x:c r="C5" s="16" t="n">
        <x:f>Assumptions!B6</x:f>
        <x:v>0.03</x:v>
      </x:c>
      <x:c r="D5" s="16" t="n">
        <x:f>Assumptions!B6</x:f>
        <x:v>0.03</x:v>
      </x:c>
      <x:c r="E5" s="16" t="n">
        <x:f>Assumptions!B6</x:f>
        <x:v>0.03</x:v>
      </x:c>
      <x:c r="F5" s="16" t="n">
        <x:f>Assumptions!B6</x:f>
        <x:v>0.03</x:v>
      </x:c>
    </x:row>
    <x:row r="6" ht="23" customHeight="1">
      <x:c r="A6" s="6" t="str">
        <x:v>capex</x:v>
      </x:c>
      <x:c r="B6" s="16" t="n">
        <x:f>Assumptions!B7</x:f>
        <x:v>0.055</x:v>
      </x:c>
      <x:c r="C6" s="16" t="n">
        <x:f>Assumptions!B7</x:f>
        <x:v>0.055</x:v>
      </x:c>
      <x:c r="D6" s="16" t="n">
        <x:f>Assumptions!B7</x:f>
        <x:v>0.055</x:v>
      </x:c>
      <x:c r="E6" s="16" t="n">
        <x:f>Assumptions!B7</x:f>
        <x:v>0.055</x:v>
      </x:c>
      <x:c r="F6" s="16" t="n">
        <x:f>Assumptions!B7</x:f>
        <x:v>0.055</x:v>
      </x:c>
    </x:row>
    <x:row r="7" ht="23" customHeight="1">
      <x:c r="A7" s="6" t="str">
        <x:v>nwc</x:v>
      </x:c>
      <x:c r="B7" s="16" t="n">
        <x:f>Assumptions!B8</x:f>
        <x:v>0.04</x:v>
      </x:c>
      <x:c r="C7" s="16" t="n">
        <x:f>Assumptions!B8</x:f>
        <x:v>0.04</x:v>
      </x:c>
      <x:c r="D7" s="16" t="n">
        <x:f>Assumptions!B8</x:f>
        <x:v>0.04</x:v>
      </x:c>
      <x:c r="E7" s="16" t="n">
        <x:f>Assumptions!B8</x:f>
        <x:v>0.04</x:v>
      </x:c>
      <x:c r="F7" s="16" t="n">
        <x:f>Assumptions!B8</x:f>
        <x:v>0.04</x:v>
      </x:c>
    </x:row>
    <x:row r="8" ht="23" customHeight="1">
      <x:c r="A8" s="6" t="str">
        <x:v>rf</x:v>
      </x:c>
      <x:c r="B8" s="16" t="n">
        <x:f>Assumptions!B9</x:f>
        <x:v>0.065</x:v>
      </x:c>
      <x:c r="C8" s="16" t="n">
        <x:f>Assumptions!B9</x:f>
        <x:v>0.065</x:v>
      </x:c>
      <x:c r="D8" s="16" t="n">
        <x:f>Assumptions!B9</x:f>
        <x:v>0.065</x:v>
      </x:c>
      <x:c r="E8" s="16" t="n">
        <x:f>Assumptions!B9</x:f>
        <x:v>0.065</x:v>
      </x:c>
      <x:c r="F8" s="16" t="n">
        <x:f>Assumptions!B9</x:f>
        <x:v>0.065</x:v>
      </x:c>
    </x:row>
    <x:row r="9" ht="23" customHeight="1">
      <x:c r="A9" s="6" t="str">
        <x:v>beta</x:v>
      </x:c>
      <x:c r="B9" s="17" t="n">
        <x:f>Assumptions!B10</x:f>
        <x:v>0.9</x:v>
      </x:c>
      <x:c r="C9" s="17" t="n">
        <x:f>Assumptions!B10</x:f>
        <x:v>0.9</x:v>
      </x:c>
      <x:c r="D9" s="17" t="n">
        <x:f>Assumptions!B10</x:f>
        <x:v>0.9</x:v>
      </x:c>
      <x:c r="E9" s="17" t="n">
        <x:f>Assumptions!B10</x:f>
        <x:v>0.9</x:v>
      </x:c>
      <x:c r="F9" s="17" t="n">
        <x:f>Assumptions!B10</x:f>
        <x:v>0.9</x:v>
      </x:c>
    </x:row>
    <x:row r="10" ht="23" customHeight="1">
      <x:c r="A10" s="6" t="str">
        <x:v>erp</x:v>
      </x:c>
      <x:c r="B10" s="16" t="n">
        <x:f>Assumptions!B11</x:f>
        <x:v>0.065</x:v>
      </x:c>
      <x:c r="C10" s="16" t="n">
        <x:f>Assumptions!B11</x:f>
        <x:v>0.065</x:v>
      </x:c>
      <x:c r="D10" s="16" t="n">
        <x:f>Assumptions!B11</x:f>
        <x:v>0.065</x:v>
      </x:c>
      <x:c r="E10" s="16" t="n">
        <x:f>Assumptions!B11</x:f>
        <x:v>0.065</x:v>
      </x:c>
      <x:c r="F10" s="16" t="n">
        <x:f>Assumptions!B11</x:f>
        <x:v>0.065</x:v>
      </x:c>
    </x:row>
    <x:row r="11" ht="23" customHeight="1">
      <x:c r="A11" s="6" t="str">
        <x:v>kd</x:v>
      </x:c>
      <x:c r="B11" s="16" t="n">
        <x:f>Assumptions!B12</x:f>
        <x:v>0.085</x:v>
      </x:c>
      <x:c r="C11" s="16" t="n">
        <x:f>Assumptions!B12</x:f>
        <x:v>0.085</x:v>
      </x:c>
      <x:c r="D11" s="16" t="n">
        <x:f>Assumptions!B12</x:f>
        <x:v>0.085</x:v>
      </x:c>
      <x:c r="E11" s="16" t="n">
        <x:f>Assumptions!B12</x:f>
        <x:v>0.085</x:v>
      </x:c>
      <x:c r="F11" s="16" t="n">
        <x:f>Assumptions!B12</x:f>
        <x:v>0.085</x:v>
      </x:c>
    </x:row>
    <x:row r="12" ht="23" customHeight="1">
      <x:c r="A12" s="6" t="str">
        <x:v>g</x:v>
      </x:c>
      <x:c r="B12" s="16" t="n">
        <x:f>Assumptions!B13</x:f>
        <x:v>0.035</x:v>
      </x:c>
      <x:c r="C12" s="16" t="n">
        <x:f>Assumptions!B13</x:f>
        <x:v>0.035</x:v>
      </x:c>
      <x:c r="D12" s="16" t="n">
        <x:f>Assumptions!B13</x:f>
        <x:v>0.035</x:v>
      </x:c>
      <x:c r="E12" s="16" t="n">
        <x:f>Assumptions!B13</x:f>
        <x:v>0.035</x:v>
      </x:c>
      <x:c r="F12" s="16" t="n">
        <x:f>Assumptions!B13</x:f>
        <x:v>0.035</x:v>
      </x:c>
    </x:row>
    <x:row r="13" ht="23" customHeight="1">
      <x:c r="A13" s="6" t="str">
        <x:v>roic</x:v>
      </x:c>
      <x:c r="B13" s="16" t="n">
        <x:f>Assumptions!B14</x:f>
        <x:v>0.14</x:v>
      </x:c>
      <x:c r="C13" s="16" t="n">
        <x:f>Assumptions!B14</x:f>
        <x:v>0.14</x:v>
      </x:c>
      <x:c r="D13" s="16" t="n">
        <x:f>Assumptions!B14</x:f>
        <x:v>0.14</x:v>
      </x:c>
      <x:c r="E13" s="16" t="n">
        <x:f>Assumptions!B14</x:f>
        <x:v>0.14</x:v>
      </x:c>
      <x:c r="F13" s="16" t="n">
        <x:f>Assumptions!B14</x:f>
        <x:v>0.14</x:v>
      </x:c>
    </x:row>
    <x:row r="14" ht="23" customHeight="1">
      <x:c r="A14" s="6" t="str">
        <x:v>payout</x:v>
      </x:c>
      <x:c r="B14" s="16" t="n">
        <x:f>Assumptions!B15</x:f>
        <x:v>0.65</x:v>
      </x:c>
      <x:c r="C14" s="16" t="n">
        <x:f>Assumptions!B15</x:f>
        <x:v>0.65</x:v>
      </x:c>
      <x:c r="D14" s="16" t="n">
        <x:f>Assumptions!B15</x:f>
        <x:v>0.65</x:v>
      </x:c>
      <x:c r="E14" s="16" t="n">
        <x:f>Assumptions!B15</x:f>
        <x:v>0.65</x:v>
      </x:c>
      <x:c r="F14" s="16" t="n">
        <x:f>Assumptions!B15</x:f>
        <x:v>0.65</x:v>
      </x:c>
    </x:row>
    <x:row r="15" ht="23" customHeight="1">
      <x:c r="A15" s="6" t="str">
        <x:v>terminalRoe</x:v>
      </x:c>
      <x:c r="B15" s="16" t="n">
        <x:f>Assumptions!B16</x:f>
        <x:v>0.16</x:v>
      </x:c>
      <x:c r="C15" s="16" t="n">
        <x:f>Assumptions!B16</x:f>
        <x:v>0.16</x:v>
      </x:c>
      <x:c r="D15" s="16" t="n">
        <x:f>Assumptions!B16</x:f>
        <x:v>0.16</x:v>
      </x:c>
      <x:c r="E15" s="16" t="n">
        <x:f>Assumptions!B16</x:f>
        <x:v>0.16</x:v>
      </x:c>
      <x:c r="F15" s="16" t="n">
        <x:f>Assumptions!B16</x:f>
        <x:v>0.16</x:v>
      </x:c>
    </x:row>
    <x:row r="16" ht="23" customHeight="1">
      <x:c r="A16" s="6" t="str">
        <x:v>buy</x:v>
      </x:c>
      <x:c r="B16" s="16" t="n">
        <x:f>Assumptions!B17</x:f>
        <x:v>0.15</x:v>
      </x:c>
      <x:c r="C16" s="16" t="n">
        <x:f>Assumptions!B17</x:f>
        <x:v>0.15</x:v>
      </x:c>
      <x:c r="D16" s="16" t="n">
        <x:f>Assumptions!B17</x:f>
        <x:v>0.15</x:v>
      </x:c>
      <x:c r="E16" s="16" t="n">
        <x:f>Assumptions!B17</x:f>
        <x:v>0.15</x:v>
      </x:c>
      <x:c r="F16" s="16" t="n">
        <x:f>Assumptions!B17</x:f>
        <x:v>0.15</x:v>
      </x:c>
    </x:row>
    <x:row r="17" ht="23" customHeight="1">
      <x:c r="A17" s="6" t="str">
        <x:v>sell</x:v>
      </x:c>
      <x:c r="B17" s="16" t="n">
        <x:f>Assumptions!B18</x:f>
        <x:v>-0.15</x:v>
      </x:c>
      <x:c r="C17" s="16" t="n">
        <x:f>Assumptions!B18</x:f>
        <x:v>-0.15</x:v>
      </x:c>
      <x:c r="D17" s="16" t="n">
        <x:f>Assumptions!B18</x:f>
        <x:v>-0.15</x:v>
      </x:c>
      <x:c r="E17" s="16" t="n">
        <x:f>Assumptions!B18</x:f>
        <x:v>-0.15</x:v>
      </x:c>
      <x:c r="F17" s="16" t="n">
        <x:f>Assumptions!B18</x:f>
        <x:v>-0.15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23" customHeight="1">
      <x:c r="A1" s="5" t="str">
        <x:v>RALVEN / FIVE-YEAR CASH FLOW</x:v>
      </x:c>
      <x:c r="B1" s="4"/>
      <x:c r="C1" s="4"/>
      <x:c r="D1" s="4"/>
      <x:c r="E1" s="4"/>
      <x:c r="F1" s="4"/>
    </x:row>
    <x:row r="2" ht="23" customHeight="1">
      <x:c r="A2" s="6" t="str">
        <x:v>Forecast year</x:v>
      </x:c>
      <x:c r="B2" s="2" t="n">
        <x:v>1</x:v>
      </x:c>
      <x:c r="C2" s="2" t="n">
        <x:v>2</x:v>
      </x:c>
      <x:c r="D2" s="2" t="n">
        <x:v>3</x:v>
      </x:c>
      <x:c r="E2" s="2" t="n">
        <x:v>4</x:v>
      </x:c>
      <x:c r="F2" s="2" t="n">
        <x:v>5</x:v>
      </x:c>
    </x:row>
    <x:row r="3" ht="23" customHeight="1">
      <x:c r="A3" s="6" t="str">
        <x:v>Not used by bank DDM: Revenue</x:v>
      </x:c>
      <x:c r="B3" s="2"/>
      <x:c r="C3" s="2"/>
      <x:c r="D3" s="2"/>
      <x:c r="E3" s="2"/>
      <x:c r="F3" s="2"/>
    </x:row>
    <x:row r="4" ht="23" customHeight="1">
      <x:c r="A4" s="6" t="str">
        <x:v>Earnings growth</x:v>
      </x:c>
      <x:c r="B4" s="7" t="n">
        <x:f>'Driver Paths'!B2</x:f>
        <x:v>0.06</x:v>
      </x:c>
      <x:c r="C4" s="7" t="n">
        <x:f>'Driver Paths'!C2</x:f>
        <x:v>0.06</x:v>
      </x:c>
      <x:c r="D4" s="7" t="n">
        <x:f>'Driver Paths'!D2</x:f>
        <x:v>0.06</x:v>
      </x:c>
      <x:c r="E4" s="7" t="n">
        <x:f>'Driver Paths'!E2</x:f>
        <x:v>0.06</x:v>
      </x:c>
      <x:c r="F4" s="7" t="n">
        <x:f>'Driver Paths'!F2</x:f>
        <x:v>0.06</x:v>
      </x:c>
    </x:row>
    <x:row r="5" ht="23" customHeight="1">
      <x:c r="A5" s="11" t="str">
        <x:v>Not used by bank DDM: EBIT margin</x:v>
      </x:c>
      <x:c r="B5" s="2"/>
      <x:c r="C5" s="2"/>
      <x:c r="D5" s="2"/>
      <x:c r="E5" s="2"/>
      <x:c r="F5" s="2"/>
    </x:row>
    <x:row r="6" ht="23" customHeight="1">
      <x:c r="A6" s="6" t="str">
        <x:v>Not used by bank DDM: EBIT</x:v>
      </x:c>
      <x:c r="B6" s="2"/>
      <x:c r="C6" s="2"/>
      <x:c r="D6" s="2"/>
      <x:c r="E6" s="2"/>
      <x:c r="F6" s="2"/>
    </x:row>
    <x:row r="7" ht="23" customHeight="1">
      <x:c r="A7" s="6" t="str">
        <x:v>Not used by bank DDM: Tax rate</x:v>
      </x:c>
      <x:c r="B7" s="2"/>
      <x:c r="C7" s="2"/>
      <x:c r="D7" s="2"/>
      <x:c r="E7" s="2"/>
      <x:c r="F7" s="2"/>
    </x:row>
    <x:row r="8" ht="23" customHeight="1">
      <x:c r="A8" s="6" t="str">
        <x:v>Not used by bank DDM: NOPAT</x:v>
      </x:c>
      <x:c r="B8" s="2"/>
      <x:c r="C8" s="2"/>
      <x:c r="D8" s="2"/>
      <x:c r="E8" s="2"/>
      <x:c r="F8" s="2"/>
    </x:row>
    <x:row r="9" ht="31" customHeight="1">
      <x:c r="A9" s="11" t="str">
        <x:v>Not used by bank DDM: Depreciation &amp; amortization</x:v>
      </x:c>
      <x:c r="B9" s="2"/>
      <x:c r="C9" s="2"/>
      <x:c r="D9" s="2"/>
      <x:c r="E9" s="2"/>
      <x:c r="F9" s="2"/>
    </x:row>
    <x:row r="10" ht="31" customHeight="1">
      <x:c r="A10" s="11" t="str">
        <x:v>Not used by bank DDM: Capital expenditure</x:v>
      </x:c>
      <x:c r="B10" s="2"/>
      <x:c r="C10" s="2"/>
      <x:c r="D10" s="2"/>
      <x:c r="E10" s="2"/>
      <x:c r="F10" s="2"/>
    </x:row>
    <x:row r="11" ht="31" customHeight="1">
      <x:c r="A11" s="11" t="str">
        <x:v>Not used by bank DDM: Change in operating NWC</x:v>
      </x:c>
      <x:c r="B11" s="2"/>
      <x:c r="C11" s="2"/>
      <x:c r="D11" s="2"/>
      <x:c r="E11" s="2"/>
      <x:c r="F11" s="2"/>
    </x:row>
    <x:row r="12" ht="23" customHeight="1">
      <x:c r="A12" s="6" t="str">
        <x:v>Not used by bank DDM: FCFF</x:v>
      </x:c>
      <x:c r="B12" s="2"/>
      <x:c r="C12" s="2"/>
      <x:c r="D12" s="2"/>
      <x:c r="E12" s="2"/>
      <x:c r="F12" s="2"/>
    </x:row>
    <x:row r="13" ht="23" customHeight="1">
      <x:c r="A13" s="6" t="str">
        <x:v>Net income</x:v>
      </x:c>
      <x:c r="B13" s="7" t="n">
        <x:f>Inputs!B15*(1+B4)</x:f>
        <x:v>65986.25822</x:v>
      </x:c>
      <x:c r="C13" s="7" t="n">
        <x:f>B13*(1+C4)</x:f>
        <x:v>69945.43371320001</x:v>
      </x:c>
      <x:c r="D13" s="7" t="n">
        <x:f>C13*(1+D4)</x:f>
        <x:v>74142.15973599201</x:v>
      </x:c>
      <x:c r="E13" s="7" t="n">
        <x:f>D13*(1+E4)</x:f>
        <x:v>78590.68932015153</x:v>
      </x:c>
      <x:c r="F13" s="7" t="n">
        <x:f>E13*(1+F4)</x:f>
        <x:v>83306.13067936063</x:v>
      </x:c>
    </x:row>
    <x:row r="14" ht="23" customHeight="1">
      <x:c r="A14" s="6" t="str">
        <x:v>Dividends</x:v>
      </x:c>
      <x:c r="B14" s="7" t="n">
        <x:f>B13*'Driver Paths'!B14</x:f>
        <x:v>42891.067843000004</x:v>
      </x:c>
      <x:c r="C14" s="7" t="n">
        <x:f>C13*'Driver Paths'!C14</x:f>
        <x:v>45464.53191358001</x:v>
      </x:c>
      <x:c r="D14" s="7" t="n">
        <x:f>D13*'Driver Paths'!D14</x:f>
        <x:v>48192.40382839481</x:v>
      </x:c>
      <x:c r="E14" s="7" t="n">
        <x:f>E13*'Driver Paths'!E14</x:f>
        <x:v>51083.9480580985</x:v>
      </x:c>
      <x:c r="F14" s="7" t="n">
        <x:f>F13*'Driver Paths'!F14</x:f>
        <x:v>54148.984941584415</x:v>
      </x:c>
    </x:row>
    <x:row r="15" ht="23" customHeight="1">
      <x:c r="A15" s="6" t="str">
        <x:v>Active cash flow: dividends</x:v>
      </x:c>
      <x:c r="B15" s="7" t="n">
        <x:f>B14</x:f>
        <x:v>42891.067843000004</x:v>
      </x:c>
      <x:c r="C15" s="7" t="n">
        <x:f>C14</x:f>
        <x:v>45464.53191358001</x:v>
      </x:c>
      <x:c r="D15" s="7" t="n">
        <x:f>D14</x:f>
        <x:v>48192.40382839481</x:v>
      </x:c>
      <x:c r="E15" s="7" t="n">
        <x:f>E14</x:f>
        <x:v>51083.9480580985</x:v>
      </x:c>
      <x:c r="F15" s="7" t="n">
        <x:f>F14</x:f>
        <x:v>54148.984941584415</x:v>
      </x:c>
    </x:row>
    <x:row r="16" ht="23" customHeight="1">
      <x:c r="A16" s="6" t="str">
        <x:v>Discount rate</x:v>
      </x:c>
      <x:c r="B16" s="7" t="n">
        <x:f>$B$24</x:f>
        <x:v>0.1235</x:v>
      </x:c>
      <x:c r="C16" s="7" t="n">
        <x:f>$B$24</x:f>
        <x:v>0.1235</x:v>
      </x:c>
      <x:c r="D16" s="7" t="n">
        <x:f>$B$24</x:f>
        <x:v>0.1235</x:v>
      </x:c>
      <x:c r="E16" s="7" t="n">
        <x:f>$B$24</x:f>
        <x:v>0.1235</x:v>
      </x:c>
      <x:c r="F16" s="7" t="n">
        <x:f>$B$24</x:f>
        <x:v>0.1235</x:v>
      </x:c>
    </x:row>
    <x:row r="17" ht="23" customHeight="1">
      <x:c r="A17" s="6" t="str">
        <x:v>Discount factor</x:v>
      </x:c>
      <x:c r="B17" s="7" t="n">
        <x:f>(1+B16)^B2</x:f>
        <x:v>1.1235</x:v>
      </x:c>
      <x:c r="C17" s="7" t="n">
        <x:f>(1+C16)^C2</x:f>
        <x:v>1.26225225</x:v>
      </x:c>
      <x:c r="D17" s="7" t="n">
        <x:f>(1+D16)^D2</x:f>
        <x:v>1.4181404028749998</x:v>
      </x:c>
      <x:c r="E17" s="7" t="n">
        <x:f>(1+E16)^E2</x:f>
        <x:v>1.5932807426300621</x:v>
      </x:c>
      <x:c r="F17" s="7" t="n">
        <x:f>(1+F16)^F2</x:f>
        <x:v>1.7900509143448748</x:v>
      </x:c>
    </x:row>
    <x:row r="18" ht="23" customHeight="1">
      <x:c r="A18" s="6" t="str">
        <x:v>Present value</x:v>
      </x:c>
      <x:c r="B18" s="7" t="n">
        <x:f>B15/B17</x:f>
        <x:v>38176.29536537606</x:v>
      </x:c>
      <x:c r="C18" s="7" t="n">
        <x:f>C15/C17</x:f>
        <x:v>36018.57862687906</x:v>
      </x:c>
      <x:c r="D18" s="7" t="n">
        <x:f>D15/D17</x:f>
        <x:v>33982.81561592507</x:v>
      </x:c>
      <x:c r="E18" s="7" t="n">
        <x:f>E15/E17</x:f>
        <x:v>32062.113531713905</x:v>
      </x:c>
      <x:c r="F18" s="7" t="n">
        <x:f>F15/F17</x:f>
        <x:v>30249.969153196926</x:v>
      </x:c>
    </x:row>
    <x:row r="19" ht="23" customHeight="1">
      <x:c r="A19" s="2"/>
      <x:c r="B19" s="2"/>
      <x:c r="C19" s="2"/>
      <x:c r="D19" s="2"/>
      <x:c r="E19" s="2"/>
      <x:c r="F19" s="2"/>
    </x:row>
    <x:row r="20" ht="23" customHeight="1">
      <x:c r="A20" s="2"/>
      <x:c r="B20" s="2"/>
      <x:c r="C20" s="2"/>
      <x:c r="D20" s="2"/>
      <x:c r="E20" s="2"/>
      <x:c r="F20" s="2"/>
    </x:row>
    <x:row r="21" ht="23" customHeight="1">
      <x:c r="A21" s="6" t="str">
        <x:v>Cost of equity</x:v>
      </x:c>
      <x:c r="B21" s="7" t="n">
        <x:f>Assumptions!B9+Assumptions!B10*Assumptions!B11</x:f>
        <x:v>0.1235</x:v>
      </x:c>
      <x:c r="C21" s="2"/>
      <x:c r="D21" s="2"/>
      <x:c r="E21" s="2"/>
      <x:c r="F21" s="2"/>
    </x:row>
    <x:row r="22" ht="23" customHeight="1">
      <x:c r="A22" s="6" t="str">
        <x:v>Market capitalization</x:v>
      </x:c>
      <x:c r="B22" s="7" t="n">
        <x:f>Inputs!B11*Inputs!B12</x:f>
        <x:v>360359.9999844</x:v>
      </x:c>
      <x:c r="C22" s="2"/>
      <x:c r="D22" s="2"/>
      <x:c r="E22" s="2"/>
      <x:c r="F22" s="2"/>
    </x:row>
    <x:row r="23" ht="31" customHeight="1">
      <x:c r="A23" s="11" t="str">
        <x:v>Observed equity market value (bank)</x:v>
      </x:c>
      <x:c r="B23" s="7" t="n">
        <x:f>B22</x:f>
        <x:v>360359.9999844</x:v>
      </x:c>
      <x:c r="C23" s="2"/>
      <x:c r="D23" s="2"/>
      <x:c r="E23" s="2"/>
      <x:c r="F23" s="2"/>
    </x:row>
    <x:row r="24" ht="23" customHeight="1">
      <x:c r="A24" s="6" t="str">
        <x:v>Cost of equity / active rate</x:v>
      </x:c>
      <x:c r="B24" s="7" t="n">
        <x:f>B21</x:f>
        <x:v>0.1235</x:v>
      </x:c>
      <x:c r="C24" s="2"/>
      <x:c r="D24" s="2"/>
      <x:c r="E24" s="2"/>
      <x:c r="F24" s="2"/>
    </x:row>
    <x:row r="25" ht="23" customHeight="1">
      <x:c r="A25" s="6" t="str">
        <x:v>Terminal growth</x:v>
      </x:c>
      <x:c r="B25" s="7" t="n">
        <x:f>Assumptions!B13</x:f>
        <x:v>0.035</x:v>
      </x:c>
      <x:c r="C25" s="2"/>
      <x:c r="D25" s="2"/>
      <x:c r="E25" s="2"/>
      <x:c r="F25" s="2"/>
    </x:row>
    <x:row r="26" ht="23" customHeight="1">
      <x:c r="A26" s="6" t="str">
        <x:v>Terminal ROE</x:v>
      </x:c>
      <x:c r="B26" s="7" t="n">
        <x:f>Assumptions!B16</x:f>
        <x:v>0.16</x:v>
      </x:c>
      <x:c r="C26" s="2"/>
      <x:c r="D26" s="2"/>
      <x:c r="E26" s="2"/>
      <x:c r="F26" s="2"/>
    </x:row>
    <x:row r="27" ht="23" customHeight="1">
      <x:c r="A27" s="6" t="str">
        <x:v>Terminal cash flow</x:v>
      </x:c>
      <x:c r="B27" s="7" t="n">
        <x:f>F13*(1+B25)*(1-B25/B26)</x:f>
        <x:v>67360.81660401425</x:v>
      </x:c>
      <x:c r="C27" s="2"/>
      <x:c r="D27" s="2"/>
      <x:c r="E27" s="2"/>
      <x:c r="F27" s="2"/>
    </x:row>
    <x:row r="28" ht="23" customHeight="1">
      <x:c r="A28" s="6" t="str">
        <x:v>Terminal value</x:v>
      </x:c>
      <x:c r="B28" s="7" t="n">
        <x:f>B27/(B24-B25)</x:f>
        <x:v>761139.1706668277</x:v>
      </x:c>
      <x:c r="C28" s="2"/>
      <x:c r="D28" s="2"/>
      <x:c r="E28" s="2"/>
      <x:c r="F28" s="2"/>
    </x:row>
    <x:row r="29" ht="23" customHeight="1">
      <x:c r="A29" s="6" t="str">
        <x:v>PV terminal value</x:v>
      </x:c>
      <x:c r="B29" s="7" t="n">
        <x:f>B28/(1+B24)^5</x:f>
        <x:v>425205.31933885824</x:v>
      </x:c>
      <x:c r="C29" s="2"/>
      <x:c r="D29" s="2"/>
      <x:c r="E29" s="2"/>
      <x:c r="F29" s="2"/>
    </x:row>
    <x:row r="30" ht="23" customHeight="1">
      <x:c r="A30" s="6" t="str">
        <x:v>PV explicit cash flows</x:v>
      </x:c>
      <x:c r="B30" s="7" t="n">
        <x:f>SUM(B18:F18)</x:f>
        <x:v>170489.77229309102</x:v>
      </x:c>
      <x:c r="C30" s="2"/>
      <x:c r="D30" s="2"/>
      <x:c r="E30" s="2"/>
      <x:c r="F30" s="2"/>
    </x:row>
    <x:row r="31" ht="23" customHeight="1">
      <x:c r="A31" s="6" t="str">
        <x:v>Equity DDM value</x:v>
      </x:c>
      <x:c r="B31" s="7" t="n">
        <x:f>B29+B30</x:f>
        <x:v>595695.0916319493</x:v>
      </x:c>
      <x:c r="C31" s="2"/>
      <x:c r="D31" s="2"/>
      <x:c r="E31" s="2"/>
      <x:c r="F31" s="2"/>
    </x:row>
    <x:row r="32" ht="23" customHeight="1">
      <x:c r="A32" s="6" t="str">
        <x:v>Equity value</x:v>
      </x:c>
      <x:c r="B32" s="7" t="n">
        <x:f>B31</x:f>
        <x:v>595695.0916319493</x:v>
      </x:c>
      <x:c r="C32" s="2"/>
      <x:c r="D32" s="2"/>
      <x:c r="E32" s="2"/>
      <x:c r="F32" s="2"/>
    </x:row>
    <x:row r="33" ht="23" customHeight="1">
      <x:c r="A33" s="6" t="str">
        <x:v>Intrinsic IDR / share</x:v>
      </x:c>
      <x:c r="B33" s="7" t="n">
        <x:f>B32/Inputs!B12</x:f>
        <x:v>6446.916576382434</x:v>
      </x:c>
      <x:c r="C33" s="2"/>
      <x:c r="D33" s="2"/>
      <x:c r="E33" s="2"/>
      <x:c r="F33" s="2"/>
    </x:row>
    <x:row r="34" ht="23" customHeight="1">
      <x:c r="A34" s="2"/>
      <x:c r="B34" s="2"/>
      <x:c r="C34" s="2"/>
      <x:c r="D34" s="2"/>
      <x:c r="E34" s="2"/>
      <x:c r="F34" s="2"/>
    </x:row>
    <x:row r="35" ht="23" customHeight="1">
      <x:c r="A35" s="2"/>
      <x:c r="B35" s="2"/>
      <x:c r="C35" s="2"/>
      <x:c r="D35" s="2"/>
      <x:c r="E35" s="2"/>
      <x:c r="F35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3" hidden="0" customWidth="1"/>
    <x:col min="3" max="3" width="23" hidden="0" customWidth="1"/>
    <x:col min="4" max="4" width="23" hidden="0" customWidth="1"/>
  </x:cols>
  <x:sheetData>
    <x:row r="1" ht="23" customHeight="1">
      <x:c r="A1" s="5" t="str">
        <x:v>RALVEN / RELATIVE VALUATION</x:v>
      </x:c>
      <x:c r="B1" s="4"/>
      <x:c r="C1" s="4"/>
      <x:c r="D1" s="4"/>
    </x:row>
    <x:row r="2" ht="23" customHeight="1">
      <x:c r="A2" s="6" t="str">
        <x:v>Metric</x:v>
      </x:c>
      <x:c r="B2" s="6" t="str">
        <x:v>Median</x:v>
      </x:c>
      <x:c r="C2" s="6" t="str">
        <x:v>Eligible count</x:v>
      </x:c>
      <x:c r="D2" s="6" t="str">
        <x:v>Implied IDR / share</x:v>
      </x:c>
    </x:row>
    <x:row r="3" ht="23" customHeight="1">
      <x:c r="A3" s="6" t="str">
        <x:v>pe</x:v>
      </x:c>
      <x:c r="B3" s="7" t="n">
        <x:f>IF(COUNT(Comps!B2:B13)&gt;=3,MEDIAN(Comps!B2:B13),"")</x:f>
        <x:v>6.835547648443515</x:v>
      </x:c>
      <x:c r="C3" s="7" t="n">
        <x:f>COUNT(Comps!B2:B13)</x:f>
        <x:v>10</x:v>
      </x:c>
      <x:c r="D3" s="7" t="n">
        <x:f>IF(AND(C3&gt;=3,Inputs!B15&gt;0,B3*Inputs!B15/Inputs!B12&gt;0),B3*Inputs!B15/Inputs!B12,"")</x:f>
        <x:v>4605.205139925199</x:v>
      </x:c>
    </x:row>
    <x:row r="4" ht="23" customHeight="1">
      <x:c r="A4" s="6" t="str">
        <x:v>pb</x:v>
      </x:c>
      <x:c r="B4" s="7" t="n">
        <x:f>IF(COUNT(Comps!C2:C13)&gt;=3,MEDIAN(Comps!C2:C13),"")</x:f>
        <x:v>1.1344682909949766</x:v>
      </x:c>
      <x:c r="C4" s="7" t="n">
        <x:f>COUNT(Comps!C2:C13)</x:f>
        <x:v>12</x:v>
      </x:c>
      <x:c r="D4" s="7" t="n">
        <x:f>IF(AND(C4&gt;=3,Inputs!B17&gt;0,B4*Inputs!B17/Inputs!B12&gt;0),B4*Inputs!B17/Inputs!B12,"")</x:f>
        <x:v>3494.1795376070863</x:v>
      </x:c>
    </x:row>
    <x:row r="5" ht="23" customHeight="1">
      <x:c r="A5" s="6" t="str">
        <x:v>Central estimate</x:v>
      </x:c>
      <x:c r="B5" s="7" t="n">
        <x:f>IF(COUNT(D3:D4)&gt;0,AVERAGE(D3:D4),"")</x:f>
        <x:v>4049.6923387661427</x:v>
      </x:c>
      <x:c r="C5" s="2"/>
      <x:c r="D5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31" customHeight="1">
      <x:c r="A1" s="18" t="str">
        <x:v>Standalone DDM IDR/share: Ke x terminal growth (before blending)</x:v>
      </x:c>
      <x:c r="B1" s="4"/>
      <x:c r="C1" s="4"/>
      <x:c r="D1" s="4"/>
      <x:c r="E1" s="4"/>
      <x:c r="F1" s="4"/>
    </x:row>
    <x:row r="2" ht="23" customHeight="1">
      <x:c r="A2" s="6" t="str">
        <x:v>Rate / growth</x:v>
      </x:c>
      <x:c r="B2" s="2" t="n">
        <x:v>0.025</x:v>
      </x:c>
      <x:c r="C2" s="2" t="n">
        <x:v>0.030000000000000002</x:v>
      </x:c>
      <x:c r="D2" s="2" t="n">
        <x:v>0.035</x:v>
      </x:c>
      <x:c r="E2" s="2" t="n">
        <x:v>0.04</x:v>
      </x:c>
      <x:c r="F2" s="2" t="n">
        <x:v>0.045000000000000005</x:v>
      </x:c>
    </x:row>
    <x:row r="3" ht="23" customHeight="1">
      <x:c r="A3" s="2" t="n">
        <x:v>0.1135</x:v>
      </x:c>
      <x:c r="B3" s="7" t="n">
        <x:f>IF(OR(B$2&lt;0,B$2&gt;=Forecast!$B$26,$A3&lt;=B$2+0.005),"",(Forecast!B15/(1+$A3)+Forecast!C15/(1+$A3)^2+Forecast!D15/(1+$A3)^3+Forecast!E15/(1+$A3)^4+Forecast!F15/(1+$A3)^5+Forecast!F13*(1+B$2)*(1-B$2/Forecast!$B$26)/($A3-B$2)/(1+$A3)^5)/Inputs!B12)</x:f>
        <x:v>7040.399733253087</x:v>
      </x:c>
      <x:c r="C3" s="7" t="n">
        <x:f>IF(OR(C$2&lt;0,C$2&gt;=Forecast!$B$26,$A3&lt;=C$2+0.005),"",(Forecast!B15/(1+$A3)+Forecast!C15/(1+$A3)^2+Forecast!D15/(1+$A3)^3+Forecast!E15/(1+$A3)^4+Forecast!F15/(1+$A3)^5+Forecast!F13*(1+C$2)*(1-C$2/Forecast!$B$26)/($A3-C$2)/(1+$A3)^5)/Inputs!B12)</x:f>
        <x:v>7172.182123413246</x:v>
      </x:c>
      <x:c r="D3" s="7" t="n">
        <x:f>IF(OR(D$2&lt;0,D$2&gt;=Forecast!$B$26,$A3&lt;=D$2+0.005),"",(Forecast!B15/(1+$A3)+Forecast!C15/(1+$A3)^2+Forecast!D15/(1+$A3)^3+Forecast!E15/(1+$A3)^4+Forecast!F15/(1+$A3)^5+Forecast!F13*(1+D$2)*(1-D$2/Forecast!$B$26)/($A3-D$2)/(1+$A3)^5)/Inputs!B12)</x:f>
        <x:v>7318.6553890720415</x:v>
      </x:c>
      <x:c r="E3" s="7" t="n">
        <x:f>IF(OR(E$2&lt;0,E$2&gt;=Forecast!$B$26,$A3&lt;=E$2+0.005),"",(Forecast!B15/(1+$A3)+Forecast!C15/(1+$A3)^2+Forecast!D15/(1+$A3)^3+Forecast!E15/(1+$A3)^4+Forecast!F15/(1+$A3)^5+Forecast!F13*(1+E$2)*(1-E$2/Forecast!$B$26)/($A3-E$2)/(1+$A3)^5)/Inputs!B12)</x:f>
        <x:v>7482.817668086338</x:v>
      </x:c>
      <x:c r="F3" s="7" t="n">
        <x:f>IF(OR(F$2&lt;0,F$2&gt;=Forecast!$B$26,$A3&lt;=F$2+0.005),"",(Forecast!B15/(1+$A3)+Forecast!C15/(1+$A3)^2+Forecast!D15/(1+$A3)^3+Forecast!E15/(1+$A3)^4+Forecast!F15/(1+$A3)^5+Forecast!F13*(1+F$2)*(1-F$2/Forecast!$B$26)/($A3-F$2)/(1+$A3)^5)/Inputs!B12)</x:f>
        <x:v>7668.5424670303355</x:v>
      </x:c>
    </x:row>
    <x:row r="4" ht="23" customHeight="1">
      <x:c r="A4" s="2" t="n">
        <x:v>0.1185</x:v>
      </x:c>
      <x:c r="B4" s="7" t="n">
        <x:f>IF(OR(B$2&lt;0,B$2&gt;=Forecast!$B$26,$A4&lt;=B$2+0.005),"",(Forecast!B15/(1+$A4)+Forecast!C15/(1+$A4)^2+Forecast!D15/(1+$A4)^3+Forecast!E15/(1+$A4)^4+Forecast!F15/(1+$A4)^5+Forecast!F13*(1+B$2)*(1-B$2/Forecast!$B$26)/($A4-B$2)/(1+$A4)^5)/Inputs!B12)</x:f>
        <x:v>6632.824378442857</x:v>
      </x:c>
      <x:c r="C4" s="7" t="n">
        <x:f>IF(OR(C$2&lt;0,C$2&gt;=Forecast!$B$26,$A4&lt;=C$2+0.005),"",(Forecast!B15/(1+$A4)+Forecast!C15/(1+$A4)^2+Forecast!D15/(1+$A4)^3+Forecast!E15/(1+$A4)^4+Forecast!F15/(1+$A4)^5+Forecast!F13*(1+C$2)*(1-C$2/Forecast!$B$26)/($A4-C$2)/(1+$A4)^5)/Inputs!B12)</x:f>
        <x:v>6739.201434072773</x:v>
      </x:c>
      <x:c r="D4" s="7" t="n">
        <x:f>IF(OR(D$2&lt;0,D$2&gt;=Forecast!$B$26,$A4&lt;=D$2+0.005),"",(Forecast!B15/(1+$A4)+Forecast!C15/(1+$A4)^2+Forecast!D15/(1+$A4)^3+Forecast!E15/(1+$A4)^4+Forecast!F15/(1+$A4)^5+Forecast!F13*(1+D$2)*(1-D$2/Forecast!$B$26)/($A4-D$2)/(1+$A4)^5)/Inputs!B12)</x:f>
        <x:v>6856.390782543998</x:v>
      </x:c>
      <x:c r="E4" s="7" t="n">
        <x:f>IF(OR(E$2&lt;0,E$2&gt;=Forecast!$B$26,$A4&lt;=E$2+0.005),"",(Forecast!B15/(1+$A4)+Forecast!C15/(1+$A4)^2+Forecast!D15/(1+$A4)^3+Forecast!E15/(1+$A4)^4+Forecast!F15/(1+$A4)^5+Forecast!F13*(1+E$2)*(1-E$2/Forecast!$B$26)/($A4-E$2)/(1+$A4)^5)/Inputs!B12)</x:f>
        <x:v>6986.458467074621</x:v>
      </x:c>
      <x:c r="F4" s="7" t="n">
        <x:f>IF(OR(F$2&lt;0,F$2&gt;=Forecast!$B$26,$A4&lt;=F$2+0.005),"",(Forecast!B15/(1+$A4)+Forecast!C15/(1+$A4)^2+Forecast!D15/(1+$A4)^3+Forecast!E15/(1+$A4)^4+Forecast!F15/(1+$A4)^5+Forecast!F13*(1+F$2)*(1-F$2/Forecast!$B$26)/($A4-F$2)/(1+$A4)^5)/Inputs!B12)</x:f>
        <x:v>7132.032719513496</x:v>
      </x:c>
    </x:row>
    <x:row r="5" ht="23" customHeight="1">
      <x:c r="A5" s="2" t="n">
        <x:v>0.1235</x:v>
      </x:c>
      <x:c r="B5" s="7" t="n">
        <x:f>IF(OR(B$2&lt;0,B$2&gt;=Forecast!$B$26,$A5&lt;=B$2+0.005),"",(Forecast!B15/(1+$A5)+Forecast!C15/(1+$A5)^2+Forecast!D15/(1+$A5)^3+Forecast!E15/(1+$A5)^4+Forecast!F15/(1+$A5)^5+Forecast!F13*(1+B$2)*(1-B$2/Forecast!$B$26)/($A5-B$2)/(1+$A5)^5)/Inputs!B12)</x:f>
        <x:v>6267.3543770113765</x:v>
      </x:c>
      <x:c r="C5" s="7" t="n">
        <x:f>IF(OR(C$2&lt;0,C$2&gt;=Forecast!$B$26,$A5&lt;=C$2+0.005),"",(Forecast!B15/(1+$A5)+Forecast!C15/(1+$A5)^2+Forecast!D15/(1+$A5)^3+Forecast!E15/(1+$A5)^4+Forecast!F15/(1+$A5)^5+Forecast!F13*(1+C$2)*(1-C$2/Forecast!$B$26)/($A5-C$2)/(1+$A5)^5)/Inputs!B12)</x:f>
        <x:v>6353.176030340202</x:v>
      </x:c>
      <x:c r="D5" s="7" t="n">
        <x:f>IF(OR(D$2&lt;0,D$2&gt;=Forecast!$B$26,$A5&lt;=D$2+0.005),"",(Forecast!B15/(1+$A5)+Forecast!C15/(1+$A5)^2+Forecast!D15/(1+$A5)^3+Forecast!E15/(1+$A5)^4+Forecast!F15/(1+$A5)^5+Forecast!F13*(1+D$2)*(1-D$2/Forecast!$B$26)/($A5-D$2)/(1+$A5)^5)/Inputs!B12)</x:f>
        <x:v>6446.916576382434</x:v>
      </x:c>
      <x:c r="E5" s="7" t="n">
        <x:f>IF(OR(E$2&lt;0,E$2&gt;=Forecast!$B$26,$A5&lt;=E$2+0.005),"",(Forecast!B15/(1+$A5)+Forecast!C15/(1+$A5)^2+Forecast!D15/(1+$A5)^3+Forecast!E15/(1+$A5)^4+Forecast!F15/(1+$A5)^5+Forecast!F13*(1+E$2)*(1-E$2/Forecast!$B$26)/($A5-E$2)/(1+$A5)^5)/Inputs!B12)</x:f>
        <x:v>6549.998570715337</x:v>
      </x:c>
      <x:c r="F5" s="7" t="n">
        <x:f>IF(OR(F$2&lt;0,F$2&gt;=Forecast!$B$26,$A5&lt;=F$2+0.005),"",(Forecast!B15/(1+$A5)+Forecast!C15/(1+$A5)^2+Forecast!D15/(1+$A5)^3+Forecast!E15/(1+$A5)^4+Forecast!F15/(1+$A5)^5+Forecast!F13*(1+F$2)*(1-F$2/Forecast!$B$26)/($A5-F$2)/(1+$A5)^5)/Inputs!B12)</x:f>
        <x:v>6664.207003458142</x:v>
      </x:c>
    </x:row>
    <x:row r="6" ht="23" customHeight="1">
      <x:c r="A6" s="2" t="n">
        <x:v>0.1285</x:v>
      </x:c>
      <x:c r="B6" s="7" t="n">
        <x:f>IF(OR(B$2&lt;0,B$2&gt;=Forecast!$B$26,$A6&lt;=B$2+0.005),"",(Forecast!B15/(1+$A6)+Forecast!C15/(1+$A6)^2+Forecast!D15/(1+$A6)^3+Forecast!E15/(1+$A6)^4+Forecast!F15/(1+$A6)^5+Forecast!F13*(1+B$2)*(1-B$2/Forecast!$B$26)/($A6-B$2)/(1+$A6)^5)/Inputs!B12)</x:f>
        <x:v>5937.867006331813</x:v>
      </x:c>
      <x:c r="C6" s="7" t="n">
        <x:f>IF(OR(C$2&lt;0,C$2&gt;=Forecast!$B$26,$A6&lt;=C$2+0.005),"",(Forecast!B15/(1+$A6)+Forecast!C15/(1+$A6)^2+Forecast!D15/(1+$A6)^3+Forecast!E15/(1+$A6)^4+Forecast!F15/(1+$A6)^5+Forecast!F13*(1+C$2)*(1-C$2/Forecast!$B$26)/($A6-C$2)/(1+$A6)^5)/Inputs!B12)</x:f>
        <x:v>6006.937174456075</x:v>
      </x:c>
      <x:c r="D6" s="7" t="n">
        <x:f>IF(OR(D$2&lt;0,D$2&gt;=Forecast!$B$26,$A6&lt;=D$2+0.005),"",(Forecast!B15/(1+$A6)+Forecast!C15/(1+$A6)^2+Forecast!D15/(1+$A6)^3+Forecast!E15/(1+$A6)^4+Forecast!F15/(1+$A6)^5+Forecast!F13*(1+D$2)*(1-D$2/Forecast!$B$26)/($A6-D$2)/(1+$A6)^5)/Inputs!B12)</x:f>
        <x:v>6081.748125471169</x:v>
      </x:c>
      <x:c r="E6" s="7" t="n">
        <x:f>IF(OR(E$2&lt;0,E$2&gt;=Forecast!$B$26,$A6&lt;=E$2+0.005),"",(Forecast!B15/(1+$A6)+Forecast!C15/(1+$A6)^2+Forecast!D15/(1+$A6)^3+Forecast!E15/(1+$A6)^4+Forecast!F15/(1+$A6)^5+Forecast!F13*(1+E$2)*(1-E$2/Forecast!$B$26)/($A6-E$2)/(1+$A6)^5)/Inputs!B12)</x:f>
        <x:v>6163.27287342639</x:v>
      </x:c>
      <x:c r="F6" s="7" t="n">
        <x:f>IF(OR(F$2&lt;0,F$2&gt;=Forecast!$B$26,$A6&lt;=F$2+0.005),"",(Forecast!B15/(1+$A6)+Forecast!C15/(1+$A6)^2+Forecast!D15/(1+$A6)^3+Forecast!E15/(1+$A6)^4+Forecast!F15/(1+$A6)^5+Forecast!F13*(1+F$2)*(1-F$2/Forecast!$B$26)/($A6-F$2)/(1+$A6)^5)/Inputs!B12)</x:f>
        <x:v>6252.717489628345</x:v>
      </x:c>
    </x:row>
    <x:row r="7" ht="23" customHeight="1">
      <x:c r="A7" s="2" t="n">
        <x:v>0.1335</x:v>
      </x:c>
      <x:c r="B7" s="7" t="n">
        <x:f>IF(OR(B$2&lt;0,B$2&gt;=Forecast!$B$26,$A7&lt;=B$2+0.005),"",(Forecast!B15/(1+$A7)+Forecast!C15/(1+$A7)^2+Forecast!D15/(1+$A7)^3+Forecast!E15/(1+$A7)^4+Forecast!F15/(1+$A7)^5+Forecast!F13*(1+B$2)*(1-B$2/Forecast!$B$26)/($A7-B$2)/(1+$A7)^5)/Inputs!B12)</x:f>
        <x:v>5639.368824783829</x:v>
      </x:c>
      <x:c r="C7" s="7" t="n">
        <x:f>IF(OR(C$2&lt;0,C$2&gt;=Forecast!$B$26,$A7&lt;=C$2+0.005),"",(Forecast!B15/(1+$A7)+Forecast!C15/(1+$A7)^2+Forecast!D15/(1+$A7)^3+Forecast!E15/(1+$A7)^4+Forecast!F15/(1+$A7)^5+Forecast!F13*(1+C$2)*(1-C$2/Forecast!$B$26)/($A7-C$2)/(1+$A7)^5)/Inputs!B12)</x:f>
        <x:v>5694.701983576967</x:v>
      </x:c>
      <x:c r="D7" s="7" t="n">
        <x:f>IF(OR(D$2&lt;0,D$2&gt;=Forecast!$B$26,$A7&lt;=D$2+0.005),"",(Forecast!B15/(1+$A7)+Forecast!C15/(1+$A7)^2+Forecast!D15/(1+$A7)^3+Forecast!E15/(1+$A7)^4+Forecast!F15/(1+$A7)^5+Forecast!F13*(1+D$2)*(1-D$2/Forecast!$B$26)/($A7-D$2)/(1+$A7)^5)/Inputs!B12)</x:f>
        <x:v>5754.1240610304585</x:v>
      </x:c>
      <x:c r="E7" s="7" t="n">
        <x:f>IF(OR(E$2&lt;0,E$2&gt;=Forecast!$B$26,$A7&lt;=E$2+0.005),"",(Forecast!B15/(1+$A7)+Forecast!C15/(1+$A7)^2+Forecast!D15/(1+$A7)^3+Forecast!E15/(1+$A7)^4+Forecast!F15/(1+$A7)^5+Forecast!F13*(1+E$2)*(1-E$2/Forecast!$B$26)/($A7-E$2)/(1+$A7)^5)/Inputs!B12)</x:f>
        <x:v>5818.291033399973</x:v>
      </x:c>
      <x:c r="F7" s="7" t="n">
        <x:f>IF(OR(F$2&lt;0,F$2&gt;=Forecast!$B$26,$A7&lt;=F$2+0.005),"",(Forecast!B15/(1+$A7)+Forecast!C15/(1+$A7)^2+Forecast!D15/(1+$A7)^3+Forecast!E15/(1+$A7)^4+Forecast!F15/(1+$A7)^5+Forecast!F13*(1+F$2)*(1-F$2/Forecast!$B$26)/($A7-F$2)/(1+$A7)^5)/Inputs!B12)</x:f>
        <x:v>5888.007120162803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55" hidden="0" customWidth="1"/>
  </x:cols>
  <x:sheetData>
    <x:row r="1" ht="23" customHeight="1">
      <x:c r="A1" s="5" t="str">
        <x:v>RALVEN / DATA INPUTS</x:v>
      </x:c>
      <x:c r="B1" s="4"/>
    </x:row>
    <x:row r="2" ht="23" customHeight="1">
      <x:c r="A2" s="6" t="str">
        <x:v>Field</x:v>
      </x:c>
      <x:c r="B2" s="6" t="str">
        <x:v>Value</x:v>
      </x:c>
    </x:row>
    <x:row r="3" ht="23" customHeight="1">
      <x:c r="A3" s="6" t="str">
        <x:v>ticker</x:v>
      </x:c>
      <x:c r="B3" s="6" t="str">
        <x:v>BMRI</x:v>
      </x:c>
    </x:row>
    <x:row r="4" ht="23" customHeight="1">
      <x:c r="A4" s="6" t="str">
        <x:v>name</x:v>
      </x:c>
      <x:c r="B4" s="6" t="str">
        <x:v>PT Bank Mandiri (Persero) Tbk</x:v>
      </x:c>
    </x:row>
    <x:row r="5" ht="23" customHeight="1">
      <x:c r="A5" s="6" t="str">
        <x:v>sector</x:v>
      </x:c>
      <x:c r="B5" s="6" t="str">
        <x:v>Financial Services</x:v>
      </x:c>
    </x:row>
    <x:row r="6" ht="23" customHeight="1">
      <x:c r="A6" s="6" t="str">
        <x:v>currency</x:v>
      </x:c>
      <x:c r="B6" s="6" t="str">
        <x:v>IDR</x:v>
      </x:c>
    </x:row>
    <x:row r="7" ht="23" customHeight="1">
      <x:c r="A7" s="6" t="str">
        <x:v>units</x:v>
      </x:c>
      <x:c r="B7" s="6" t="str">
        <x:v>IDR bn / shares bn</x:v>
      </x:c>
    </x:row>
    <x:row r="8" ht="23" customHeight="1">
      <x:c r="A8" s="6" t="str">
        <x:v>period</x:v>
      </x:c>
      <x:c r="B8" s="6" t="str">
        <x:v>2026-06-30</x:v>
      </x:c>
    </x:row>
    <x:row r="9" ht="23" customHeight="1">
      <x:c r="A9" s="6" t="str">
        <x:v>priceDate</x:v>
      </x:c>
      <x:c r="B9" s="6" t="str">
        <x:v>2026-10-23</x:v>
      </x:c>
    </x:row>
    <x:row r="10" ht="23" customHeight="1">
      <x:c r="A10" s="6" t="str">
        <x:v>valuationDate</x:v>
      </x:c>
      <x:c r="B10" s="6" t="str">
        <x:v>2026-10-25</x:v>
      </x:c>
    </x:row>
    <x:row r="11" ht="23" customHeight="1">
      <x:c r="A11" s="6" t="str">
        <x:v>price</x:v>
      </x:c>
      <x:c r="B11" s="13" t="n">
        <x:v>3900</x:v>
      </x:c>
    </x:row>
    <x:row r="12" ht="23" customHeight="1">
      <x:c r="A12" s="6" t="str">
        <x:v>shares</x:v>
      </x:c>
      <x:c r="B12" s="13" t="n">
        <x:v>92.399999996</x:v>
      </x:c>
    </x:row>
    <x:row r="13" ht="23" customHeight="1">
      <x:c r="A13" s="6" t="str">
        <x:v>revenue</x:v>
      </x:c>
      <x:c r="B13" s="13" t="n">
        <x:v>101665.57100000001</x:v>
      </x:c>
    </x:row>
    <x:row r="14" ht="23" customHeight="1">
      <x:c r="A14" s="6" t="str">
        <x:v>ebit</x:v>
      </x:c>
      <x:c r="B14" s="13" t="n">
        <x:v>81930.697</x:v>
      </x:c>
    </x:row>
    <x:row r="15" ht="23" customHeight="1">
      <x:c r="A15" s="6" t="str">
        <x:v>netIncome</x:v>
      </x:c>
      <x:c r="B15" s="13" t="n">
        <x:v>62251.187000000005</x:v>
      </x:c>
    </x:row>
    <x:row r="16" ht="23" customHeight="1">
      <x:c r="A16" s="6" t="str">
        <x:v>ebitda</x:v>
      </x:c>
      <x:c r="B16" s="13" t="n">
        <x:v>62251.187000000005</x:v>
      </x:c>
    </x:row>
    <x:row r="17" ht="23" customHeight="1">
      <x:c r="A17" s="6" t="str">
        <x:v>bookEquity</x:v>
      </x:c>
      <x:c r="B17" s="13" t="n">
        <x:v>284593.401</x:v>
      </x:c>
    </x:row>
    <x:row r="18" ht="23" customHeight="1">
      <x:c r="A18" s="6" t="str">
        <x:v>debt</x:v>
      </x:c>
      <x:c r="B18" s="13" t="n">
        <x:v>0</x:v>
      </x:c>
    </x:row>
    <x:row r="19" ht="23" customHeight="1">
      <x:c r="A19" s="6" t="str">
        <x:v>cash</x:v>
      </x:c>
      <x:c r="B19" s="13" t="n">
        <x:v>0</x:v>
      </x:c>
    </x:row>
    <x:row r="20" ht="23" customHeight="1">
      <x:c r="A20" s="6" t="str">
        <x:v>minority</x:v>
      </x:c>
      <x:c r="B20" s="13" t="n">
        <x:v>0</x:v>
      </x:c>
    </x:row>
    <x:row r="21" ht="23" customHeight="1">
      <x:c r="A21" s="6" t="str">
        <x:v>preferred</x:v>
      </x:c>
      <x:c r="B21" s="13" t="n">
        <x:v>0</x:v>
      </x:c>
    </x:row>
    <x:row r="22" ht="160" customHeight="1">
      <x:c r="A22" s="6" t="str">
        <x:v>source</x:v>
      </x:c>
      <x:c r="B22" s="11" t="str">
        <x:v>Yahoo Finance public chart and annual fundamentals, BMRI.JK; fiscal period 2025-12-31; retrieved 2026-10-25T15:34:55.273Z. Official IDX classification. Shares use latest annual ordinary shares (dilution proxy). Foreign statements translated at fiscal-date FX; see FX register. Official IDX summary 2026-10-23; listed shares from IDX.</x:v>
      </x:c>
    </x:row>
    <x:row r="23" ht="23" customHeight="1">
      <x:c r="A23" s="6" t="str">
        <x:v>updatedAt</x:v>
      </x:c>
      <x:c r="B23" s="6" t="d">
        <x:v>2026-10-25T15:34:55.273Z</x:v>
      </x:c>
    </x:row>
    <x:row r="24" ht="23" customHeight="1">
      <x:c r="A24" s="6" t="str">
        <x:v>mode</x:v>
      </x:c>
      <x:c r="B24" s="6" t="str">
        <x:v>live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3" customHeight="1">
      <x:c r="A1" s="5" t="str">
        <x:v>year</x:v>
      </x:c>
      <x:c r="B1" s="5" t="str">
        <x:v>period</x:v>
      </x:c>
      <x:c r="C1" s="5" t="str">
        <x:v>basis</x:v>
      </x:c>
      <x:c r="D1" s="5" t="str">
        <x:v>revenue</x:v>
      </x:c>
      <x:c r="E1" s="5" t="str">
        <x:v>ebit</x:v>
      </x:c>
      <x:c r="F1" s="5" t="str">
        <x:v>netIncome</x:v>
      </x:c>
      <x:c r="G1" s="5" t="str">
        <x:v>ocf</x:v>
      </x:c>
    </x:row>
    <x:row r="2" ht="23" customHeight="1">
      <x:c r="A2" s="2" t="n">
        <x:v>2022</x:v>
      </x:c>
      <x:c r="B2" s="6" t="str">
        <x:v>2022-12-31</x:v>
      </x:c>
      <x:c r="C2" s="6" t="str">
        <x:v>ANNUAL</x:v>
      </x:c>
      <x:c r="D2" s="2" t="n">
        <x:v>115633.384</x:v>
      </x:c>
      <x:c r="E2" s="2"/>
      <x:c r="F2" s="2" t="n">
        <x:v>41170.637</x:v>
      </x:c>
      <x:c r="G2" s="2" t="n">
        <x:v>99975.305</x:v>
      </x:c>
    </x:row>
    <x:row r="3" ht="23" customHeight="1">
      <x:c r="A3" s="2" t="n">
        <x:v>2023</x:v>
      </x:c>
      <x:c r="B3" s="6" t="str">
        <x:v>2023-12-31</x:v>
      </x:c>
      <x:c r="C3" s="6" t="str">
        <x:v>ANNUAL</x:v>
      </x:c>
      <x:c r="D3" s="2" t="n">
        <x:v>124193.814</x:v>
      </x:c>
      <x:c r="E3" s="2"/>
      <x:c r="F3" s="2" t="n">
        <x:v>55060.057</x:v>
      </x:c>
      <x:c r="G3" s="2" t="n">
        <x:v>-69803.958</x:v>
      </x:c>
    </x:row>
    <x:row r="4" ht="23" customHeight="1">
      <x:c r="A4" s="2" t="n">
        <x:v>2024</x:v>
      </x:c>
      <x:c r="B4" s="6" t="str">
        <x:v>2024-12-31</x:v>
      </x:c>
      <x:c r="C4" s="6" t="str">
        <x:v>ANNUAL</x:v>
      </x:c>
      <x:c r="D4" s="2" t="n">
        <x:v>134799.086</x:v>
      </x:c>
      <x:c r="E4" s="2" t="n">
        <x:v>76059.595</x:v>
      </x:c>
      <x:c r="F4" s="2" t="n">
        <x:v>55782.742000000006</x:v>
      </x:c>
      <x:c r="G4" s="2" t="n">
        <x:v>-26186.927000000003</x:v>
      </x:c>
    </x:row>
    <x:row r="5" ht="23" customHeight="1">
      <x:c r="A5" s="2" t="n">
        <x:v>2025</x:v>
      </x:c>
      <x:c r="B5" s="6" t="str">
        <x:v>2025-12-31</x:v>
      </x:c>
      <x:c r="C5" s="6" t="str">
        <x:v>ANNUAL</x:v>
      </x:c>
      <x:c r="D5" s="2" t="n">
        <x:v>140173.049</x:v>
      </x:c>
      <x:c r="E5" s="2" t="n">
        <x:v>76310.739</x:v>
      </x:c>
      <x:c r="F5" s="2" t="n">
        <x:v>56293.950000000004</x:v>
      </x:c>
      <x:c r="G5" s="2" t="n">
        <x:v>154183.60400000002</x:v>
      </x:c>
    </x:row>
    <x:row r="6" ht="23" customHeight="1">
      <x:c r="A6" s="2" t="n">
        <x:v>2026</x:v>
      </x:c>
      <x:c r="B6" s="6" t="str">
        <x:v>2026-06-30</x:v>
      </x:c>
      <x:c r="C6" s="6" t="str">
        <x:v>TTM</x:v>
      </x:c>
      <x:c r="D6" s="2" t="n">
        <x:v>101665.57100000001</x:v>
      </x:c>
      <x:c r="E6" s="2" t="n">
        <x:v>81930.697</x:v>
      </x:c>
      <x:c r="F6" s="2" t="n">
        <x:v>62251.187000000005</x:v>
      </x:c>
      <x:c r="G6" s="2" t="n">
        <x:v>43205.477000000006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</x:cols>
  <x:sheetData>
    <x:row r="1" ht="23" customHeight="1">
      <x:c r="A1" s="5" t="str">
        <x:v>ticker</x:v>
      </x:c>
      <x:c r="B1" s="5" t="str">
        <x:v>sector</x:v>
      </x:c>
      <x:c r="C1" s="5" t="str">
        <x:v>currency</x:v>
      </x:c>
      <x:c r="D1" s="5" t="str">
        <x:v>period</x:v>
      </x:c>
      <x:c r="E1" s="5" t="str">
        <x:v>priceDate</x:v>
      </x:c>
      <x:c r="F1" s="5" t="str">
        <x:v>price</x:v>
      </x:c>
      <x:c r="G1" s="5" t="str">
        <x:v>shares</x:v>
      </x:c>
      <x:c r="H1" s="5" t="str">
        <x:v>netIncome</x:v>
      </x:c>
      <x:c r="I1" s="5" t="str">
        <x:v>bookEquity</x:v>
      </x:c>
      <x:c r="J1" s="5" t="str">
        <x:v>ebitda</x:v>
      </x:c>
      <x:c r="K1" s="5" t="str">
        <x:v>debt</x:v>
      </x:c>
      <x:c r="L1" s="5" t="str">
        <x:v>cash</x:v>
      </x:c>
      <x:c r="M1" s="5" t="str">
        <x:v>minority</x:v>
      </x:c>
      <x:c r="N1" s="5" t="str">
        <x:v>preferred</x:v>
      </x:c>
      <x:c r="O1" s="5" t="str">
        <x:v>source</x:v>
      </x:c>
      <x:c r="P1" s="5" t="str">
        <x:v>industry</x:v>
      </x:c>
      <x:c r="Q1" s="5" t="str">
        <x:v>subIndustry</x:v>
      </x:c>
      <x:c r="R1" s="5" t="str">
        <x:v>periodBasis</x:v>
      </x:c>
      <x:c r="S1" s="5" t="str">
        <x:v>units</x:v>
      </x:c>
      <x:c r="T1" s="5" t="str">
        <x:v>revenue</x:v>
      </x:c>
    </x:row>
    <x:row r="2" ht="160" customHeight="1">
      <x:c r="A2" s="6" t="str">
        <x:v>BBRI</x:v>
      </x:c>
      <x:c r="B2" s="6" t="str">
        <x:v>Financial Services</x:v>
      </x:c>
      <x:c r="C2" s="6" t="str">
        <x:v>IDR</x:v>
      </x:c>
      <x:c r="D2" s="6" t="str">
        <x:v>2026-06-30</x:v>
      </x:c>
      <x:c r="E2" s="6" t="str">
        <x:v>2026-10-23</x:v>
      </x:c>
      <x:c r="F2" s="13" t="n">
        <x:v>2910</x:v>
      </x:c>
      <x:c r="G2" s="13" t="n">
        <x:v>150.043411587</x:v>
      </x:c>
      <x:c r="H2" s="13" t="n">
        <x:v>61241.08500000001</x:v>
      </x:c>
      <x:c r="I2" s="13" t="n">
        <x:v>321923.18700000003</x:v>
      </x:c>
      <x:c r="J2" s="13" t="n">
        <x:v>61241.08500000001</x:v>
      </x:c>
      <x:c r="K2" s="13" t="n">
        <x:v>0</x:v>
      </x:c>
      <x:c r="L2" s="13" t="n">
        <x:v>0</x:v>
      </x:c>
      <x:c r="M2" s="13" t="n">
        <x:v>0</x:v>
      </x:c>
      <x:c r="N2" s="13" t="n">
        <x:v>0</x:v>
      </x:c>
      <x:c r="O2" s="11" t="str">
        <x:v>Yahoo Finance public chart and annual fundamentals, BBRI.JK; fiscal period 2025-12-31; retrieved 2026-10-24T12:28:27.107Z. Official IDX classification. Shares use latest annual ordinary shares (dilution proxy). Foreign statements translated at fiscal-date FX; see FX register. Official IDX summary 2026-10-23; listed shares from IDX. Official IDX summary 2026-10-23; listed shares from IDX. Official IDX summary 2026-10-23; listed shares from IDX. Official IDX summary 2026-10-23; listed shares from IDX.</x:v>
      </x:c>
      <x:c r="P2" s="6" t="str">
        <x:v>Bank</x:v>
      </x:c>
      <x:c r="Q2" s="6" t="str">
        <x:v>Bank</x:v>
      </x:c>
      <x:c r="R2" s="6" t="str">
        <x:v>TTM</x:v>
      </x:c>
      <x:c r="S2" s="6" t="str">
        <x:v>IDR bn / shares bn</x:v>
      </x:c>
      <x:c r="T2" s="13" t="n">
        <x:v>157754.299</x:v>
      </x:c>
    </x:row>
    <x:row r="3" ht="160" customHeight="1">
      <x:c r="A3" s="6" t="str">
        <x:v>BBCA</x:v>
      </x:c>
      <x:c r="B3" s="6" t="str">
        <x:v>Financial Services</x:v>
      </x:c>
      <x:c r="C3" s="6" t="str">
        <x:v>IDR</x:v>
      </x:c>
      <x:c r="D3" s="6" t="str">
        <x:v>2026-06-30</x:v>
      </x:c>
      <x:c r="E3" s="6" t="str">
        <x:v>2026-10-23</x:v>
      </x:c>
      <x:c r="F3" s="13" t="n">
        <x:v>5025</x:v>
      </x:c>
      <x:c r="G3" s="13" t="n">
        <x:v>122.0422995</x:v>
      </x:c>
      <x:c r="H3" s="13" t="n">
        <x:v>58055.319</x:v>
      </x:c>
      <x:c r="I3" s="13" t="n">
        <x:v>270437.543</x:v>
      </x:c>
      <x:c r="J3" s="13" t="n">
        <x:v>58055.319</x:v>
      </x:c>
      <x:c r="K3" s="13" t="n">
        <x:v>0</x:v>
      </x:c>
      <x:c r="L3" s="13" t="n">
        <x:v>0</x:v>
      </x:c>
      <x:c r="M3" s="13" t="n">
        <x:v>0</x:v>
      </x:c>
      <x:c r="N3" s="13" t="n">
        <x:v>0</x:v>
      </x:c>
      <x:c r="O3" s="11" t="str">
        <x:v>Yahoo Finance public chart and annual fundamentals, BBCA.JK; fiscal period 2025-12-31; retrieved 2026-10-24T12:28:26.008Z. Official IDX classification. Shares use latest annual ordinary shares (dilution proxy). Foreign statements translated at fiscal-date FX; see FX register. Official IDX summary 2026-10-23; listed shares from IDX. Official IDX summary 2026-10-23; listed shares from IDX. Official IDX summary 2026-10-23; listed shares from IDX. Official IDX summary 2026-10-23; listed shares from IDX.</x:v>
      </x:c>
      <x:c r="P3" s="6" t="str">
        <x:v>Bank</x:v>
      </x:c>
      <x:c r="Q3" s="6" t="str">
        <x:v>Bank</x:v>
      </x:c>
      <x:c r="R3" s="6" t="str">
        <x:v>TTM</x:v>
      </x:c>
      <x:c r="S3" s="6" t="str">
        <x:v>IDR bn / shares bn</x:v>
      </x:c>
      <x:c r="T3" s="13" t="n">
        <x:v>85475.728</x:v>
      </x:c>
    </x:row>
    <x:row r="4" ht="160" customHeight="1">
      <x:c r="A4" s="6" t="str">
        <x:v>BBNI</x:v>
      </x:c>
      <x:c r="B4" s="6" t="str">
        <x:v>Financial Services</x:v>
      </x:c>
      <x:c r="C4" s="6" t="str">
        <x:v>IDR</x:v>
      </x:c>
      <x:c r="D4" s="6" t="str">
        <x:v>2026-06-30</x:v>
      </x:c>
      <x:c r="E4" s="6" t="str">
        <x:v>2026-10-23</x:v>
      </x:c>
      <x:c r="F4" s="13" t="n">
        <x:v>3420</x:v>
      </x:c>
      <x:c r="G4" s="13" t="n">
        <x:v>36.924339786</x:v>
      </x:c>
      <x:c r="H4" s="13" t="n">
        <x:v>20702.5</x:v>
      </x:c>
      <x:c r="I4" s="13" t="n">
        <x:v>163863.55500000002</x:v>
      </x:c>
      <x:c r="J4" s="13" t="n">
        <x:v>20702.5</x:v>
      </x:c>
      <x:c r="K4" s="13" t="n">
        <x:v>0</x:v>
      </x:c>
      <x:c r="L4" s="13" t="n">
        <x:v>0</x:v>
      </x:c>
      <x:c r="M4" s="13" t="n">
        <x:v>0</x:v>
      </x:c>
      <x:c r="N4" s="13" t="n">
        <x:v>0</x:v>
      </x:c>
      <x:c r="O4" s="11" t="str">
        <x:v>Yahoo Finance public chart and annual fundamentals, BBNI.JK; fiscal period 2025-12-31; retrieved 2026-10-24T12:28:26.587Z. Official IDX classification. Shares use latest annual ordinary shares (dilution proxy). Foreign statements translated at fiscal-date FX; see FX register. Official IDX summary 2026-10-23; listed shares from IDX. Official IDX summary 2026-10-23; listed shares from IDX. Official IDX summary 2026-10-23; listed shares from IDX. Official IDX summary 2026-10-23; listed shares from IDX.</x:v>
      </x:c>
      <x:c r="P4" s="6" t="str">
        <x:v>Bank</x:v>
      </x:c>
      <x:c r="Q4" s="6" t="str">
        <x:v>Bank</x:v>
      </x:c>
      <x:c r="R4" s="6" t="str">
        <x:v>TTM</x:v>
      </x:c>
      <x:c r="S4" s="6" t="str">
        <x:v>IDR bn / shares bn</x:v>
      </x:c>
      <x:c r="T4" s="13" t="n">
        <x:v>43102.636000000006</x:v>
      </x:c>
    </x:row>
    <x:row r="5" ht="160" customHeight="1">
      <x:c r="A5" s="6" t="str">
        <x:v>BNLI</x:v>
      </x:c>
      <x:c r="B5" s="6" t="str">
        <x:v>Financial Services</x:v>
      </x:c>
      <x:c r="C5" s="6" t="str">
        <x:v>IDR</x:v>
      </x:c>
      <x:c r="D5" s="6" t="str">
        <x:v>2026-06-30</x:v>
      </x:c>
      <x:c r="E5" s="6" t="str">
        <x:v>2026-10-23</x:v>
      </x:c>
      <x:c r="F5" s="13" t="n">
        <x:v>1725</x:v>
      </x:c>
      <x:c r="G5" s="13" t="n">
        <x:v>35.819545925</x:v>
      </x:c>
      <x:c r="H5" s="13" t="n">
        <x:v>3661.2990000000004</x:v>
      </x:c>
      <x:c r="I5" s="13" t="n">
        <x:v>45149.918000000005</x:v>
      </x:c>
      <x:c r="J5" s="13" t="n">
        <x:v>3661.2990000000004</x:v>
      </x:c>
      <x:c r="K5" s="13" t="n">
        <x:v>0</x:v>
      </x:c>
      <x:c r="L5" s="13" t="n">
        <x:v>0</x:v>
      </x:c>
      <x:c r="M5" s="13" t="n">
        <x:v>0</x:v>
      </x:c>
      <x:c r="N5" s="13" t="n">
        <x:v>0</x:v>
      </x:c>
      <x:c r="O5" s="11" t="str">
        <x:v>Yahoo Finance public chart and annual fundamentals, BNLI.JK; fiscal period 2025-12-31; retrieved 2026-10-24T12:28:40.639Z. Official IDX classification. Shares use latest annual ordinary shares (dilution proxy). Foreign statements translated at fiscal-date FX; see FX register. Official IDX summary 2026-10-23; listed shares from IDX. Official IDX summary 2026-10-23; listed shares from IDX. Official IDX summary 2026-10-23; listed shares from IDX. Official IDX summary 2026-10-23; listed shares from IDX.</x:v>
      </x:c>
      <x:c r="P5" s="6" t="str">
        <x:v>Bank</x:v>
      </x:c>
      <x:c r="Q5" s="6" t="str">
        <x:v>Bank</x:v>
      </x:c>
      <x:c r="R5" s="6" t="str">
        <x:v>TTM</x:v>
      </x:c>
      <x:c r="S5" s="6" t="str">
        <x:v>IDR bn / shares bn</x:v>
      </x:c>
      <x:c r="T5" s="13" t="n">
        <x:v>9814.267</x:v>
      </x:c>
    </x:row>
    <x:row r="6" ht="160" customHeight="1">
      <x:c r="A6" s="6" t="str">
        <x:v>BDMN</x:v>
      </x:c>
      <x:c r="B6" s="6" t="str">
        <x:v>Financial Services</x:v>
      </x:c>
      <x:c r="C6" s="6" t="str">
        <x:v>IDR</x:v>
      </x:c>
      <x:c r="D6" s="6" t="str">
        <x:v>2026-06-30</x:v>
      </x:c>
      <x:c r="E6" s="6" t="str">
        <x:v>2026-10-23</x:v>
      </x:c>
      <x:c r="F6" s="13" t="n">
        <x:v>5025</x:v>
      </x:c>
      <x:c r="G6" s="13" t="n">
        <x:v>9.675817341</x:v>
      </x:c>
      <x:c r="H6" s="13" t="n">
        <x:v>4563.264</x:v>
      </x:c>
      <x:c r="I6" s="13" t="n">
        <x:v>54319.474</x:v>
      </x:c>
      <x:c r="J6" s="13" t="n">
        <x:v>4563.264</x:v>
      </x:c>
      <x:c r="K6" s="13" t="n">
        <x:v>0</x:v>
      </x:c>
      <x:c r="L6" s="13" t="n">
        <x:v>0</x:v>
      </x:c>
      <x:c r="M6" s="13" t="n">
        <x:v>0</x:v>
      </x:c>
      <x:c r="N6" s="13" t="n">
        <x:v>0</x:v>
      </x:c>
      <x:c r="O6" s="11" t="str">
        <x:v>Yahoo Finance public chart and annual fundamentals, BDMN.JK; fiscal period 2025-12-31; retrieved 2026-10-24T12:28:29.373Z. Official IDX classification. Shares use latest annual ordinary shares (dilution proxy). Foreign statements translated at fiscal-date FX; see FX register. Official IDX summary 2026-10-23; listed shares from IDX. Official IDX summary 2026-10-23; listed shares from IDX. Official IDX summary 2026-10-23; listed shares from IDX. Official IDX summary 2026-10-23; listed shares from IDX.</x:v>
      </x:c>
      <x:c r="P6" s="6" t="str">
        <x:v>Bank</x:v>
      </x:c>
      <x:c r="Q6" s="6" t="str">
        <x:v>Bank</x:v>
      </x:c>
      <x:c r="R6" s="6" t="str">
        <x:v>TTM</x:v>
      </x:c>
      <x:c r="S6" s="6" t="str">
        <x:v>IDR bn / shares bn</x:v>
      </x:c>
      <x:c r="T6" s="13" t="n">
        <x:v>18817.623</x:v>
      </x:c>
    </x:row>
    <x:row r="7" ht="160" customHeight="1">
      <x:c r="A7" s="6" t="str">
        <x:v>BRIS</x:v>
      </x:c>
      <x:c r="B7" s="6" t="str">
        <x:v>Financial Services</x:v>
      </x:c>
      <x:c r="C7" s="6" t="str">
        <x:v>IDR</x:v>
      </x:c>
      <x:c r="D7" s="6" t="str">
        <x:v>2026-06-30</x:v>
      </x:c>
      <x:c r="E7" s="6" t="str">
        <x:v>2026-10-23</x:v>
      </x:c>
      <x:c r="F7" s="13" t="n">
        <x:v>1020</x:v>
      </x:c>
      <x:c r="G7" s="13" t="n">
        <x:v>45.667877639</x:v>
      </x:c>
      <x:c r="H7" s="13" t="n">
        <x:v>7982.004000000001</x:v>
      </x:c>
      <x:c r="I7" s="13" t="n">
        <x:v>51040.62100000001</x:v>
      </x:c>
      <x:c r="J7" s="13" t="n">
        <x:v>7982.004000000001</x:v>
      </x:c>
      <x:c r="K7" s="13" t="n">
        <x:v>0</x:v>
      </x:c>
      <x:c r="L7" s="13" t="n">
        <x:v>0</x:v>
      </x:c>
      <x:c r="M7" s="13" t="n">
        <x:v>0</x:v>
      </x:c>
      <x:c r="N7" s="13" t="n">
        <x:v>0</x:v>
      </x:c>
      <x:c r="O7" s="11" t="str">
        <x:v>Yahoo Finance public chart and annual fundamentals, BRIS.JK; fiscal period 2025-12-31; retrieved 2026-10-24T12:28:43.744Z. Official IDX classification. Shares use latest annual ordinary shares (dilution proxy). Foreign statements translated at fiscal-date FX; see FX register. Official IDX summary 2026-10-23; listed shares from IDX. Official IDX summary 2026-10-23; listed shares from IDX. Official IDX summary 2026-10-23; listed shares from IDX. Official IDX summary 2026-10-23; listed shares from IDX.</x:v>
      </x:c>
      <x:c r="P7" s="6" t="str">
        <x:v>Bank</x:v>
      </x:c>
      <x:c r="Q7" s="6" t="str">
        <x:v>Bank</x:v>
      </x:c>
      <x:c r="R7" s="6" t="str">
        <x:v>TTM</x:v>
      </x:c>
      <x:c r="S7" s="6" t="str">
        <x:v>IDR bn / shares bn</x:v>
      </x:c>
      <x:c r="T7" s="2"/>
    </x:row>
    <x:row r="8" ht="160" customHeight="1">
      <x:c r="A8" s="6" t="str">
        <x:v>MEGA</x:v>
      </x:c>
      <x:c r="B8" s="6" t="str">
        <x:v>Financial Services</x:v>
      </x:c>
      <x:c r="C8" s="6" t="str">
        <x:v>IDR</x:v>
      </x:c>
      <x:c r="D8" s="6" t="str">
        <x:v>2026-06-30</x:v>
      </x:c>
      <x:c r="E8" s="6" t="str">
        <x:v>2026-10-23</x:v>
      </x:c>
      <x:c r="F8" s="13" t="n">
        <x:v>1920</x:v>
      </x:c>
      <x:c r="G8" s="13" t="n">
        <x:v>23.247028262</x:v>
      </x:c>
      <x:c r="H8" s="13" t="n">
        <x:v>3279.706</x:v>
      </x:c>
      <x:c r="I8" s="13" t="n">
        <x:v>22366.313000000002</x:v>
      </x:c>
      <x:c r="J8" s="13" t="n">
        <x:v>3279.706</x:v>
      </x:c>
      <x:c r="K8" s="13" t="n">
        <x:v>0</x:v>
      </x:c>
      <x:c r="L8" s="13" t="n">
        <x:v>0</x:v>
      </x:c>
      <x:c r="M8" s="13" t="n">
        <x:v>0</x:v>
      </x:c>
      <x:c r="N8" s="13" t="n">
        <x:v>0</x:v>
      </x:c>
      <x:c r="O8" s="11" t="str">
        <x:v>Yahoo Finance public chart and annual fundamentals, MEGA.JK; fiscal period 2025-12-31; retrieved 2026-10-24T12:30:24.270Z. Official IDX classification. Shares use latest annual ordinary shares (dilution proxy). Foreign statements translated at fiscal-date FX; see FX register. Official IDX summary 2026-10-23; listed shares from IDX. Official IDX summary 2026-10-23; listed shares from IDX. Official IDX summary 2026-10-23; listed shares from IDX. Official IDX summary 2026-10-23; listed shares from IDX.</x:v>
      </x:c>
      <x:c r="P8" s="6" t="str">
        <x:v>Bank</x:v>
      </x:c>
      <x:c r="Q8" s="6" t="str">
        <x:v>Bank</x:v>
      </x:c>
      <x:c r="R8" s="6" t="str">
        <x:v>TTM</x:v>
      </x:c>
      <x:c r="S8" s="6" t="str">
        <x:v>IDR bn / shares bn</x:v>
      </x:c>
      <x:c r="T8" s="13" t="n">
        <x:v>4932.599</x:v>
      </x:c>
    </x:row>
    <x:row r="9" ht="160" customHeight="1">
      <x:c r="A9" s="6" t="str">
        <x:v>BNGA</x:v>
      </x:c>
      <x:c r="B9" s="6" t="str">
        <x:v>Financial Services</x:v>
      </x:c>
      <x:c r="C9" s="6" t="str">
        <x:v>IDR</x:v>
      </x:c>
      <x:c r="D9" s="6" t="str">
        <x:v>2026-06-30</x:v>
      </x:c>
      <x:c r="E9" s="6" t="str">
        <x:v>2026-10-23</x:v>
      </x:c>
      <x:c r="F9" s="13" t="n">
        <x:v>1650</x:v>
      </x:c>
      <x:c r="G9" s="13" t="n">
        <x:v>24.890783784</x:v>
      </x:c>
      <x:c r="H9" s="13" t="n">
        <x:v>6857.778</x:v>
      </x:c>
      <x:c r="I9" s="13" t="n">
        <x:v>56111.01500000001</x:v>
      </x:c>
      <x:c r="J9" s="13" t="n">
        <x:v>6857.778</x:v>
      </x:c>
      <x:c r="K9" s="13" t="n">
        <x:v>0</x:v>
      </x:c>
      <x:c r="L9" s="13" t="n">
        <x:v>0</x:v>
      </x:c>
      <x:c r="M9" s="13" t="n">
        <x:v>0</x:v>
      </x:c>
      <x:c r="N9" s="13" t="n">
        <x:v>0</x:v>
      </x:c>
      <x:c r="O9" s="11" t="str">
        <x:v>Yahoo Finance public chart and annual fundamentals, BNGA.JK; fiscal period 2025-12-31; retrieved 2026-10-24T12:28:40.193Z. Official IDX classification. Shares use latest annual ordinary shares (dilution proxy). Foreign statements translated at fiscal-date FX; see FX register. Official IDX summary 2026-10-23; listed shares from IDX. Official IDX summary 2026-10-23; listed shares from IDX. Official IDX summary 2026-10-23; listed shares from IDX. Official IDX summary 2026-10-23; listed shares from IDX.</x:v>
      </x:c>
      <x:c r="P9" s="6" t="str">
        <x:v>Bank</x:v>
      </x:c>
      <x:c r="Q9" s="6" t="str">
        <x:v>Bank</x:v>
      </x:c>
      <x:c r="R9" s="6" t="str">
        <x:v>TTM</x:v>
      </x:c>
      <x:c r="S9" s="6" t="str">
        <x:v>IDR bn / shares bn</x:v>
      </x:c>
      <x:c r="T9" s="13" t="n">
        <x:v>13405.864000000001</x:v>
      </x:c>
    </x:row>
    <x:row r="10" ht="160" customHeight="1">
      <x:c r="A10" s="6" t="str">
        <x:v>BSWD</x:v>
      </x:c>
      <x:c r="B10" s="6" t="str">
        <x:v>Financial Services</x:v>
      </x:c>
      <x:c r="C10" s="6" t="str">
        <x:v>IDR</x:v>
      </x:c>
      <x:c r="D10" s="6" t="str">
        <x:v>2026-06-30</x:v>
      </x:c>
      <x:c r="E10" s="6" t="str">
        <x:v>2026-10-20</x:v>
      </x:c>
      <x:c r="F10" s="13" t="n">
        <x:v>8075</x:v>
      </x:c>
      <x:c r="G10" s="13" t="n">
        <x:v>3.651978177</x:v>
      </x:c>
      <x:c r="H10" s="13" t="n">
        <x:v>69.69216500600001</x:v>
      </x:c>
      <x:c r="I10" s="13" t="n">
        <x:v>3566.8574609710004</x:v>
      </x:c>
      <x:c r="J10" s="13" t="n">
        <x:v>69.69216500600001</x:v>
      </x:c>
      <x:c r="K10" s="13" t="n">
        <x:v>0</x:v>
      </x:c>
      <x:c r="L10" s="13" t="n">
        <x:v>0</x:v>
      </x:c>
      <x:c r="M10" s="13" t="n">
        <x:v>0</x:v>
      </x:c>
      <x:c r="N10" s="13" t="n">
        <x:v>0</x:v>
      </x:c>
      <x:c r="O10" s="11" t="str">
        <x:v>Yahoo Finance public chart and annual fundamentals, BSWD.JK; fiscal period 2025-12-31; retrieved 2026-10-24T12:28:47.992Z. Official IDX classification. Shares use latest annual ordinary shares (dilution proxy). Foreign statements translated at fiscal-date FX; see FX register. Official IDX summary 2026-10-23; listed shares from IDX. Official IDX summary 2026-10-23; listed shares from IDX. Official IDX summary 2026-10-23; listed shares from IDX. Official IDX summary 2026-10-23; listed shares from IDX.</x:v>
      </x:c>
      <x:c r="P10" s="6" t="str">
        <x:v>Bank</x:v>
      </x:c>
      <x:c r="Q10" s="6" t="str">
        <x:v>Bank</x:v>
      </x:c>
      <x:c r="R10" s="6" t="str">
        <x:v>TTM</x:v>
      </x:c>
      <x:c r="S10" s="6" t="str">
        <x:v>IDR bn / shares bn</x:v>
      </x:c>
      <x:c r="T10" s="13" t="n">
        <x:v>276.045520662</x:v>
      </x:c>
    </x:row>
    <x:row r="11" ht="160" customHeight="1">
      <x:c r="A11" s="6" t="str">
        <x:v>NISP</x:v>
      </x:c>
      <x:c r="B11" s="6" t="str">
        <x:v>Financial Services</x:v>
      </x:c>
      <x:c r="C11" s="6" t="str">
        <x:v>IDR</x:v>
      </x:c>
      <x:c r="D11" s="6" t="str">
        <x:v>2026-06-30</x:v>
      </x:c>
      <x:c r="E11" s="6" t="str">
        <x:v>2026-10-23</x:v>
      </x:c>
      <x:c r="F11" s="13" t="n">
        <x:v>1185</x:v>
      </x:c>
      <x:c r="G11" s="13" t="n">
        <x:v>22.715776032</x:v>
      </x:c>
      <x:c r="H11" s="13" t="n">
        <x:v>5221.455</x:v>
      </x:c>
      <x:c r="I11" s="13" t="n">
        <x:v>44372.965000000004</x:v>
      </x:c>
      <x:c r="J11" s="13" t="n">
        <x:v>5221.455</x:v>
      </x:c>
      <x:c r="K11" s="13" t="n">
        <x:v>0</x:v>
      </x:c>
      <x:c r="L11" s="13" t="n">
        <x:v>0</x:v>
      </x:c>
      <x:c r="M11" s="13" t="n">
        <x:v>0</x:v>
      </x:c>
      <x:c r="N11" s="13" t="n">
        <x:v>0</x:v>
      </x:c>
      <x:c r="O11" s="11" t="str">
        <x:v>Yahoo Finance public chart and annual fundamentals, NISP.JK; fiscal period 2025-12-31; retrieved 2026-10-24T12:30:38.927Z. Official IDX classification. Shares use latest annual ordinary shares (dilution proxy). Foreign statements translated at fiscal-date FX; see FX register. Official IDX summary 2026-10-23; listed shares from IDX. Official IDX summary 2026-10-23; listed shares from IDX. Official IDX summary 2026-10-23; listed shares from IDX. Official IDX summary 2026-10-23; listed shares from IDX.</x:v>
      </x:c>
      <x:c r="P11" s="6" t="str">
        <x:v>Bank</x:v>
      </x:c>
      <x:c r="Q11" s="6" t="str">
        <x:v>Bank</x:v>
      </x:c>
      <x:c r="R11" s="6" t="str">
        <x:v>TTM</x:v>
      </x:c>
      <x:c r="S11" s="6" t="str">
        <x:v>IDR bn / shares bn</x:v>
      </x:c>
      <x:c r="T11" s="13" t="n">
        <x:v>10286.236</x:v>
      </x:c>
    </x:row>
    <x:row r="12" ht="160" customHeight="1">
      <x:c r="A12" s="6" t="str">
        <x:v>BINA</x:v>
      </x:c>
      <x:c r="B12" s="6" t="str">
        <x:v>Financial Services</x:v>
      </x:c>
      <x:c r="C12" s="6" t="str">
        <x:v>IDR</x:v>
      </x:c>
      <x:c r="D12" s="6" t="str">
        <x:v>2026-06-30</x:v>
      </x:c>
      <x:c r="E12" s="6" t="str">
        <x:v>2026-10-23</x:v>
      </x:c>
      <x:c r="F12" s="13" t="n">
        <x:v>3890</x:v>
      </x:c>
      <x:c r="G12" s="13" t="n">
        <x:v>6.073369498</x:v>
      </x:c>
      <x:c r="H12" s="13" t="n">
        <x:v>-328.714</x:v>
      </x:c>
      <x:c r="I12" s="13" t="n">
        <x:v>2971.161</x:v>
      </x:c>
      <x:c r="J12" s="13" t="n">
        <x:v>-328.714</x:v>
      </x:c>
      <x:c r="K12" s="13" t="n">
        <x:v>0</x:v>
      </x:c>
      <x:c r="L12" s="13" t="n">
        <x:v>0</x:v>
      </x:c>
      <x:c r="M12" s="13" t="n">
        <x:v>0</x:v>
      </x:c>
      <x:c r="N12" s="13" t="n">
        <x:v>0</x:v>
      </x:c>
      <x:c r="O12" s="11" t="str">
        <x:v>Yahoo Finance public chart and annual fundamentals, BINA.JK; fiscal period 2025-12-31; retrieved 2026-10-24T12:28:32.883Z. Official IDX classification. Shares use latest annual ordinary shares (dilution proxy). Foreign statements translated at fiscal-date FX; see FX register. Official IDX summary 2026-10-23; listed shares from IDX. Official IDX summary 2026-10-23; listed shares from IDX. Official IDX summary 2026-10-23; listed shares from IDX. Official IDX summary 2026-10-23; listed shares from IDX.</x:v>
      </x:c>
      <x:c r="P12" s="6" t="str">
        <x:v>Bank</x:v>
      </x:c>
      <x:c r="Q12" s="6" t="str">
        <x:v>Bank</x:v>
      </x:c>
      <x:c r="R12" s="6" t="str">
        <x:v>TTM</x:v>
      </x:c>
      <x:c r="S12" s="6" t="str">
        <x:v>IDR bn / shares bn</x:v>
      </x:c>
      <x:c r="T12" s="13" t="n">
        <x:v>582.749</x:v>
      </x:c>
    </x:row>
    <x:row r="13" ht="160" customHeight="1">
      <x:c r="A13" s="6" t="str">
        <x:v>PNBN</x:v>
      </x:c>
      <x:c r="B13" s="6" t="str">
        <x:v>Financial Services</x:v>
      </x:c>
      <x:c r="C13" s="6" t="str">
        <x:v>IDR</x:v>
      </x:c>
      <x:c r="D13" s="6" t="str">
        <x:v>2026-06-30</x:v>
      </x:c>
      <x:c r="E13" s="6" t="str">
        <x:v>2026-10-23</x:v>
      </x:c>
      <x:c r="F13" s="13" t="n">
        <x:v>750</x:v>
      </x:c>
      <x:c r="G13" s="13" t="n">
        <x:v>23.837645998</x:v>
      </x:c>
      <x:c r="H13" s="13" t="n">
        <x:v>2733.063</x:v>
      </x:c>
      <x:c r="I13" s="13" t="n">
        <x:v>53330.578</x:v>
      </x:c>
      <x:c r="J13" s="13" t="n">
        <x:v>2733.063</x:v>
      </x:c>
      <x:c r="K13" s="13" t="n">
        <x:v>0</x:v>
      </x:c>
      <x:c r="L13" s="13" t="n">
        <x:v>0</x:v>
      </x:c>
      <x:c r="M13" s="13" t="n">
        <x:v>0</x:v>
      </x:c>
      <x:c r="N13" s="13" t="n">
        <x:v>0</x:v>
      </x:c>
      <x:c r="O13" s="11" t="str">
        <x:v>Yahoo Finance public chart and annual fundamentals, PNBN.JK; fiscal period 2025-12-31; retrieved 2026-10-24T12:30:50.253Z. Official IDX classification. Shares use latest annual ordinary shares (dilution proxy). Foreign statements translated at fiscal-date FX; see FX register. Official IDX summary 2026-10-23; listed shares from IDX. Official IDX summary 2026-10-23; listed shares from IDX. Official IDX summary 2026-10-23; listed shares from IDX. Official IDX summary 2026-10-23; listed shares from IDX.</x:v>
      </x:c>
      <x:c r="P13" s="6" t="str">
        <x:v>Bank</x:v>
      </x:c>
      <x:c r="Q13" s="6" t="str">
        <x:v>Bank</x:v>
      </x:c>
      <x:c r="R13" s="6" t="str">
        <x:v>TTM</x:v>
      </x:c>
      <x:c r="S13" s="6" t="str">
        <x:v>IDR bn / shares bn</x:v>
      </x:c>
      <x:c r="T13" s="13" t="n">
        <x:v>9232.606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3" hidden="0" customWidth="1"/>
    <x:col min="3" max="3" width="23" hidden="0" customWidth="1"/>
    <x:col min="4" max="4" width="23" hidden="0" customWidth="1"/>
  </x:cols>
  <x:sheetData>
    <x:row r="1" ht="31" customHeight="1">
      <x:c r="A1" s="5" t="str">
        <x:v>Ticker</x:v>
      </x:c>
      <x:c r="B1" s="5" t="str">
        <x:v>P/E</x:v>
      </x:c>
      <x:c r="C1" s="5" t="str">
        <x:v>P/B</x:v>
      </x:c>
      <x:c r="D1" s="18" t="str">
        <x:v>Not used by bank DDM: EV/EBITDA</x:v>
      </x:c>
    </x:row>
    <x:row r="2" ht="23" customHeight="1">
      <x:c r="A2" s="6" t="str">
        <x:v>BBRI</x:v>
      </x:c>
      <x:c r="B2" s="7" t="n">
        <x:f>IF(Peers!H2&gt;0,IF(AND(Peers!H2&gt;0,Peers!F2*Peers!G2/Peers!H2&lt;100),Peers!F2*Peers!G2/Peers!H2,""),"")</x:f>
        <x:v>7.129630830645309</x:v>
      </x:c>
      <x:c r="C2" s="7" t="n">
        <x:f>IF(Peers!I2&gt;0,IF(AND(Peers!I2&gt;0,Peers!F2*Peers!G2/Peers!I2&lt;20),Peers!F2*Peers!G2/Peers!I2,""),"")</x:f>
        <x:v>1.356305930576445</x:v>
      </x:c>
      <x:c r="D2" s="2"/>
    </x:row>
    <x:row r="3" ht="23" customHeight="1">
      <x:c r="A3" s="6" t="str">
        <x:v>BBCA</x:v>
      </x:c>
      <x:c r="B3" s="7" t="n">
        <x:f>IF(Peers!H3&gt;0,IF(AND(Peers!H3&gt;0,Peers!F3*Peers!G3/Peers!H3&lt;100),Peers!F3*Peers!G3/Peers!H3,""),"")</x:f>
        <x:v>10.563417195029105</x:v>
      </x:c>
      <x:c r="C3" s="7" t="n">
        <x:f>IF(Peers!I3&gt;0,IF(AND(Peers!I3&gt;0,Peers!F3*Peers!G3/Peers!I3&lt;20),Peers!F3*Peers!G3/Peers!I3,""),"")</x:f>
        <x:v>2.267667973109414</x:v>
      </x:c>
      <x:c r="D3" s="2"/>
    </x:row>
    <x:row r="4" ht="23" customHeight="1">
      <x:c r="A4" s="6" t="str">
        <x:v>BBNI</x:v>
      </x:c>
      <x:c r="B4" s="7" t="n">
        <x:f>IF(Peers!H4&gt;0,IF(AND(Peers!H4&gt;0,Peers!F4*Peers!G4/Peers!H4&lt;100),Peers!F4*Peers!G4/Peers!H4,""),"")</x:f>
        <x:v>6.099806403483637</x:v>
      </x:c>
      <x:c r="C4" s="7" t="n">
        <x:f>IF(Peers!I4&gt;0,IF(AND(Peers!I4&gt;0,Peers!F4*Peers!G4/Peers!I4&lt;20),Peers!F4*Peers!G4/Peers!I4,""),"")</x:f>
        <x:v>0.770648739239912</x:v>
      </x:c>
      <x:c r="D4" s="2"/>
    </x:row>
    <x:row r="5" ht="23" customHeight="1">
      <x:c r="A5" s="6" t="str">
        <x:v>BNLI</x:v>
      </x:c>
      <x:c r="B5" s="7" t="n">
        <x:f>IF(Peers!H5&gt;0,IF(AND(Peers!H5&gt;0,Peers!F5*Peers!G5/Peers!H5&lt;100),Peers!F5*Peers!G5/Peers!H5,""),"")</x:f>
        <x:v>16.87617338016507</x:v>
      </x:c>
      <x:c r="C5" s="7" t="n">
        <x:f>IF(Peers!I5&gt;0,IF(AND(Peers!I5&gt;0,Peers!F5*Peers!G5/Peers!I5&lt;20),Peers!F5*Peers!G5/Peers!I5,""),"")</x:f>
        <x:v>1.3685233430684192</x:v>
      </x:c>
      <x:c r="D5" s="2"/>
    </x:row>
    <x:row r="6" ht="23" customHeight="1">
      <x:c r="A6" s="6" t="str">
        <x:v>BDMN</x:v>
      </x:c>
      <x:c r="B6" s="7" t="n">
        <x:f>IF(Peers!H6&gt;0,IF(AND(Peers!H6&gt;0,Peers!F6*Peers!G6/Peers!H6&lt;100),Peers!F6*Peers!G6/Peers!H6,""),"")</x:f>
        <x:v>10.654869439621509</x:v>
      </x:c>
      <x:c r="C6" s="7" t="n">
        <x:f>IF(Peers!I6&gt;0,IF(AND(Peers!I6&gt;0,Peers!F6*Peers!G6/Peers!I6&lt;20),Peers!F6*Peers!G6/Peers!I6,""),"")</x:f>
        <x:v>0.8950930220444513</x:v>
      </x:c>
      <x:c r="D6" s="2"/>
    </x:row>
    <x:row r="7" ht="23" customHeight="1">
      <x:c r="A7" s="6" t="str">
        <x:v>BRIS</x:v>
      </x:c>
      <x:c r="B7" s="7" t="n">
        <x:f>IF(Peers!H7&gt;0,IF(AND(Peers!H7&gt;0,Peers!F7*Peers!G7/Peers!H7&lt;100),Peers!F7*Peers!G7/Peers!H7,""),"")</x:f>
        <x:v>5.835781990560264</x:v>
      </x:c>
      <x:c r="C7" s="7" t="n">
        <x:f>IF(Peers!I7&gt;0,IF(AND(Peers!I7&gt;0,Peers!F7*Peers!G7/Peers!I7&lt;20),Peers!F7*Peers!G7/Peers!I7,""),"")</x:f>
        <x:v>0.9126306514135083</x:v>
      </x:c>
      <x:c r="D7" s="2"/>
    </x:row>
    <x:row r="8" ht="23" customHeight="1">
      <x:c r="A8" s="6" t="str">
        <x:v>MEGA</x:v>
      </x:c>
      <x:c r="B8" s="7" t="n">
        <x:f>IF(Peers!H8&gt;0,IF(AND(Peers!H8&gt;0,Peers!F8*Peers!G8/Peers!H8&lt;100),Peers!F8*Peers!G8/Peers!H8,""),"")</x:f>
        <x:v>13.609236395896462</x:v>
      </x:c>
      <x:c r="C8" s="7" t="n">
        <x:f>IF(Peers!I8&gt;0,IF(AND(Peers!I8&gt;0,Peers!F8*Peers!G8/Peers!I8&lt;20),Peers!F8*Peers!G8/Peers!I8,""),"")</x:f>
        <x:v>1.9956035786068091</x:v>
      </x:c>
      <x:c r="D8" s="2"/>
    </x:row>
    <x:row r="9" ht="23" customHeight="1">
      <x:c r="A9" s="6" t="str">
        <x:v>BNGA</x:v>
      </x:c>
      <x:c r="B9" s="7" t="n">
        <x:f>IF(Peers!H9&gt;0,IF(AND(Peers!H9&gt;0,Peers!F9*Peers!G9/Peers!H9&lt;100),Peers!F9*Peers!G9/Peers!H9,""),"")</x:f>
        <x:v>5.988790136338621</x:v>
      </x:c>
      <x:c r="C9" s="7" t="n">
        <x:f>IF(Peers!I9&gt;0,IF(AND(Peers!I9&gt;0,Peers!F9*Peers!G9/Peers!I9&lt;20),Peers!F9*Peers!G9/Peers!I9,""),"")</x:f>
        <x:v>0.7319381630077444</x:v>
      </x:c>
      <x:c r="D9" s="2"/>
    </x:row>
    <x:row r="10" ht="23" customHeight="1">
      <x:c r="A10" s="6" t="str">
        <x:v>BSWD</x:v>
      </x:c>
      <x:c r="B10" s="7" t="str">
        <x:f>IF(Peers!H10&gt;0,IF(AND(Peers!H10&gt;0,Peers!F10*Peers!G10/Peers!H10&lt;100),Peers!F10*Peers!G10/Peers!H10,""),"")</x:f>
      </x:c>
      <x:c r="C10" s="7" t="n">
        <x:f>IF(Peers!I10&gt;0,IF(AND(Peers!I10&gt;0,Peers!F10*Peers!G10/Peers!I10&lt;20),Peers!F10*Peers!G10/Peers!I10,""),"")</x:f>
        <x:v>8.267704583644074</x:v>
      </x:c>
      <x:c r="D10" s="2"/>
    </x:row>
    <x:row r="11" ht="23" customHeight="1">
      <x:c r="A11" s="6" t="str">
        <x:v>NISP</x:v>
      </x:c>
      <x:c r="B11" s="7" t="n">
        <x:f>IF(Peers!H11&gt;0,IF(AND(Peers!H11&gt;0,Peers!F11*Peers!G11/Peers!H11&lt;100),Peers!F11*Peers!G11/Peers!H11,""),"")</x:f>
        <x:v>5.155305292858026</x:v>
      </x:c>
      <x:c r="C11" s="7" t="n">
        <x:f>IF(Peers!I11&gt;0,IF(AND(Peers!I11&gt;0,Peers!F11*Peers!G11/Peers!I11&lt;20),Peers!F11*Peers!G11/Peers!I11,""),"")</x:f>
        <x:v>0.6066350219761064</x:v>
      </x:c>
      <x:c r="D11" s="2"/>
    </x:row>
    <x:row r="12" ht="23" customHeight="1">
      <x:c r="A12" s="6" t="str">
        <x:v>BINA</x:v>
      </x:c>
      <x:c r="B12" s="7" t="str">
        <x:f>IF(Peers!H12&gt;0,IF(AND(Peers!H12&gt;0,Peers!F12*Peers!G12/Peers!H12&lt;100),Peers!F12*Peers!G12/Peers!H12,""),"")</x:f>
      </x:c>
      <x:c r="C12" s="7" t="n">
        <x:f>IF(Peers!I12&gt;0,IF(AND(Peers!I12&gt;0,Peers!F12*Peers!G12/Peers!I12&lt;20),Peers!F12*Peers!G12/Peers!I12,""),"")</x:f>
        <x:v>7.951574265824033</x:v>
      </x:c>
      <x:c r="D12" s="2"/>
    </x:row>
    <x:row r="13" ht="23" customHeight="1">
      <x:c r="A13" s="6" t="str">
        <x:v>PNBN</x:v>
      </x:c>
      <x:c r="B13" s="7" t="n">
        <x:f>IF(Peers!H13&gt;0,IF(AND(Peers!H13&gt;0,Peers!F13*Peers!G13/Peers!H13&lt;100),Peers!F13*Peers!G13/Peers!H13,""),"")</x:f>
        <x:v>6.541464466241721</x:v>
      </x:c>
      <x:c r="C13" s="7" t="n">
        <x:f>IF(Peers!I13&gt;0,IF(AND(Peers!I13&gt;0,Peers!F13*Peers!G13/Peers!I13&lt;20),Peers!F13*Peers!G13/Peers!I13,""),"")</x:f>
        <x:v>0.3352342158845531</x:v>
      </x:c>
      <x:c r="D13" s="2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3" hidden="0" customWidth="1"/>
    <x:col min="3" max="3" width="23" hidden="0" customWidth="1"/>
  </x:cols>
  <x:sheetData>
    <x:row r="1" ht="23" customHeight="1">
      <x:c r="A1" s="18" t="str">
        <x:v>RALVEN / EXPORT-TIME VALIDATION</x:v>
      </x:c>
      <x:c r="B1" s="4"/>
      <x:c r="C1" s="4"/>
    </x:row>
    <x:row r="2" ht="23" customHeight="1">
      <x:c r="A2" s="6" t="str">
        <x:v>Severity</x:v>
      </x:c>
      <x:c r="B2" s="6" t="str">
        <x:v>Code</x:v>
      </x:c>
      <x:c r="C2" s="6" t="str">
        <x:v>Message</x:v>
      </x:c>
    </x:row>
    <x:row r="3" ht="57" customHeight="1">
      <x:c r="A3" s="6" t="str">
        <x:v>warning</x:v>
      </x:c>
      <x:c r="B3" s="6" t="str">
        <x:v>PROVIDER_ASSUMPTION</x:v>
      </x:c>
      <x:c r="C3" s="11" t="str">
        <x:v>Financial services: direct equity model; corporate EV bridge is inapplicable.</x:v>
      </x:c>
    </x:row>
    <x:row r="4" ht="96" customHeight="1">
      <x:c r="A4" s="6" t="str">
        <x:v>warning</x:v>
      </x:c>
      <x:c r="B4" s="6" t="str">
        <x:v>PROVIDER_ASSUMPTION</x:v>
      </x:c>
      <x:c r="C4" s="11" t="str">
        <x:v>IDX summary: 2026-10-23; volume 255521500; listed shares proxy diluted shares. A zero-volume summary does not reset the last-trade date.</x:v>
      </x:c>
    </x:row>
    <x:row r="5" ht="83" customHeight="1">
      <x:c r="A5" s="6" t="str">
        <x:v>info</x:v>
      </x:c>
      <x:c r="B5" s="6" t="str">
        <x:v>PERIOD</x:v>
      </x:c>
      <x:c r="C5" s="11" t="str">
        <x:v>Only aligned annual IDR peers are included in Comps. Peer eligibility is fixed at export. Re-upload for full rescreening.</x:v>
      </x:c>
    </x:row>
    <x:row r="6" ht="70" customHeight="1">
      <x:c r="A6" s="6" t="str">
        <x:v>info</x:v>
      </x:c>
      <x:c r="B6" s="6" t="str">
        <x:v>STABILITY</x:v>
      </x:c>
      <x:c r="C6" s="11" t="str">
        <x:v>DCF weight uses export-time history classification. Re-upload after editing historical observations.</x:v>
      </x:c>
    </x:row>
    <x:row r="7" ht="96" customHeight="1">
      <x:c r="A7" s="6" t="str">
        <x:v>info</x:v>
      </x:c>
      <x:c r="B7" s="6" t="str">
        <x:v>ASSUMPTIONS</x:v>
      </x:c>
      <x:c r="C7" s="11" t="str">
        <x:v>Rates and forecasts are analyst estimates. CAPM uses IDR risk-free input + beta x total equity risk premium. Do not add country risk twice.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3" hidden="0" customWidth="1"/>
  </x:cols>
  <x:sheetData>
    <x:row r="1" ht="23" customHeight="1">
      <x:c r="A1" s="5" t="str">
        <x:v>Source</x:v>
      </x:c>
      <x:c r="B1" s="5" t="str">
        <x:v>Detail</x:v>
      </x:c>
    </x:row>
    <x:row r="2" ht="160" customHeight="1">
      <x:c r="A2" s="6" t="str">
        <x:v>Subject</x:v>
      </x:c>
      <x:c r="B2" s="11" t="str">
        <x:v>Yahoo Finance public chart and annual fundamentals, BMRI.JK; fiscal period 2025-12-31; retrieved 2026-10-25T15:34:55.273Z. Official IDX classification. Shares use latest annual ordinary shares (dilution proxy). Foreign statements translated at fiscal-date FX; see FX register. Official IDX summary 2026-10-23; listed shares from IDX.</x:v>
      </x:c>
    </x:row>
    <x:row r="3" ht="23" customHeight="1">
      <x:c r="A3" s="6" t="str">
        <x:v>Retrieved</x:v>
      </x:c>
      <x:c r="B3" s="6" t="d">
        <x:v>2026-10-25T15:34:55.273Z</x:v>
      </x:c>
    </x:row>
    <x:row r="4" ht="23" customHeight="1">
      <x:c r="A4" s="6" t="str">
        <x:v>Fiscal period</x:v>
      </x:c>
      <x:c r="B4" s="6" t="str">
        <x:v>2026-06-30</x:v>
      </x:c>
    </x:row>
    <x:row r="5" ht="23" customHeight="1">
      <x:c r="A5" s="6" t="str">
        <x:v>Price date</x:v>
      </x:c>
      <x:c r="B5" s="6" t="str">
        <x:v>2026-10-23</x:v>
      </x:c>
    </x:row>
    <x:row r="6" ht="23" customHeight="1">
      <x:c r="A6" s="6" t="str">
        <x:v>Units</x:v>
      </x:c>
      <x:c r="B6" s="6" t="str">
        <x:v>IDR bn / shares bn</x:v>
      </x:c>
    </x:row>
    <x:row r="7" ht="83" customHeight="1">
      <x:c r="A7" s="6" t="str">
        <x:v>Capital structure</x:v>
      </x:c>
      <x:c r="B7" s="11" t="str">
        <x:v>Current shares may proxy diluted shares online. Verify treasury shares, dilution, leases and noncontrolling claims.</x:v>
      </x:c>
    </x:row>
    <x:row r="8" ht="57" customHeight="1">
      <x:c r="A8" s="6" t="str">
        <x:v>Data timing</x:v>
      </x:c>
      <x:c r="B8" s="11" t="str">
        <x:v>Annual statements only. No guarantee of point-in-time publication availability.</x:v>
      </x:c>
    </x:row>
    <x:row r="9" ht="57" customHeight="1">
      <x:c r="A9" s="6" t="str">
        <x:v>Method reference</x:v>
      </x:c>
      <x:c r="B9" s="11" t="str">
        <x:v>https://pages.stern.nyu.edu/~adamodar/pdfiles/eqnotes/finsvc.pdf</x:v>
      </x:c>
    </x:row>
    <x:row r="10" ht="57" customHeight="1">
      <x:c r="A10" s="6" t="str">
        <x:v>Data adapter</x:v>
      </x:c>
      <x:c r="B10" s="11" t="str">
        <x:v>https://ranaroussi.github.io/yfinance/reference/api/yfinance.Ticker.html</x:v>
      </x:c>
    </x:row>
    <x:row r="11" ht="44" customHeight="1">
      <x:c r="A11" s="6" t="str">
        <x:v>IDX scraper reference</x:v>
      </x:c>
      <x:c r="B11" s="11" t="str">
        <x:v>https://github.com/celeebi/IDX_GetFinancialStatement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3" hidden="0" customWidth="1"/>
  </x:cols>
  <x:sheetData>
    <x:row r="1" ht="23" customHeight="1">
      <x:c r="A1" s="5" t="str">
        <x:v>RALVEN / INPUT TEMPLATE</x:v>
      </x:c>
      <x:c r="B1" s="4"/>
    </x:row>
    <x:row r="2" ht="57" customHeight="1">
      <x:c r="A2" s="6" t="str">
        <x:v>Workflow</x:v>
      </x:c>
      <x:c r="B2" s="11" t="str">
        <x:v>Replace sample data with verified annual IDR data, then upload this .xlsx.</x:v>
      </x:c>
    </x:row>
    <x:row r="3" ht="57" customHeight="1">
      <x:c r="A3" s="6" t="str">
        <x:v>Units</x:v>
      </x:c>
      <x:c r="B3" s="11" t="str">
        <x:v>Financial amounts in IDR billions. Shares in billions. Price in IDR per share.</x:v>
      </x:c>
    </x:row>
    <x:row r="4" ht="70" customHeight="1">
      <x:c r="A4" s="6" t="str">
        <x:v>Source</x:v>
      </x:c>
      <x:c r="B4" s="11" t="str">
        <x:v>Give the issuer report URL, reporting period, quote source, and publication date in Inputs.source.</x:v>
      </x:c>
    </x:row>
    <x:row r="5" ht="70" customHeight="1">
      <x:c r="A5" s="6" t="str">
        <x:v>Missing values</x:v>
      </x:c>
      <x:c r="B5" s="11" t="str">
        <x:v>Do not replace missing data with zero. Use zero only after verifying absence of that item.</x:v>
      </x:c>
    </x:row>
    <x:row r="6" ht="96" customHeight="1">
      <x:c r="A6" s="6" t="str">
        <x:v>Historical</x:v>
      </x:c>
      <x:c r="B6" s="11" t="str">
        <x:v>Label each historical period ANNUAL or TTM with its actual end date. Use matching fiscal periods. No automatic quarterly annualization.</x:v>
      </x:c>
    </x:row>
    <x:row r="7" ht="109" customHeight="1">
      <x:c r="A7" s="6" t="str">
        <x:v>Peers</x:v>
      </x:c>
      <x:c r="B7" s="11" t="str">
        <x:v>At least 3 eligible peers per multiple. Same industry/currency. Annual or TTM end dates within 100 days; quotes at most 7 days old. Peer metadata is retained at export.</x:v>
      </x:c>
    </x:row>
    <x:row r="8" ht="83" customHeight="1">
      <x:c r="A8" s="6" t="str">
        <x:v>Capital</x:v>
      </x:c>
      <x:c r="B8" s="11" t="str">
        <x:v>Debt includes interest-bearing leases. Cash must exclude restricted cash. Minority and preferred are claim values.</x:v>
      </x:c>
    </x:row>
    <x:row r="9" ht="57" customHeight="1">
      <x:c r="A9" s="6" t="str">
        <x:v>Financial firms</x:v>
      </x:c>
      <x:c r="B9" s="11" t="str">
        <x:v>Debt and cash are excluded from enterprise bridges. Use DDM, P/E and P/B.</x:v>
      </x:c>
    </x:row>
    <x:row r="10" ht="70" customHeight="1">
      <x:c r="A10" s="6" t="str">
        <x:v>Assumptions</x:v>
      </x:c>
      <x:c r="B10" s="11" t="str">
        <x:v>Rates are decimals: 0.06 = 6%. These are analyst assumptions, not provider forecasts.</x:v>
      </x:c>
    </x:row>
    <x:row r="11" ht="70" customHeight="1">
      <x:c r="A11" s="6" t="str">
        <x:v>Sample status</x:v>
      </x:c>
      <x:c r="B11" s="11" t="str">
        <x:v>mode must remain demo for sample data. Set mode to import only after entering verified values.</x:v>
      </x:c>
    </x:row>
    <x:row r="12" ht="70" customHeight="1">
      <x:c r="A12" s="6" t="str">
        <x:v>Security</x:v>
      </x:c>
      <x:c r="B12" s="11" t="str">
        <x:v>Macros are unnecessary. Upload .xlsx only, at most 5 MB. Cached formula inputs are rejected.</x:v>
      </x:c>
    </x:row>
    <x:row r="13" ht="83" customHeight="1">
      <x:c r="A13" s="6" t="str">
        <x:v>BMRI case</x:v>
      </x:c>
      <x:c r="B13" s="11" t="str">
        <x:v>Supporting reproduction of the submitted 25 October 2026 case. Original submitted PDF is preserved unchanged.</x:v>
      </x:c>
    </x:row>
    <x:row r="14" ht="122" customHeight="1">
      <x:c r="A14" s="6" t="str">
        <x:v>DDM mechanics</x:v>
      </x:c>
      <x:c r="B14" s="11" t="str">
        <x:v>PV of five forecast dividends plus PV of sustainable terminal dividends. Terminal distribution uses g / terminal ROE; the single-stage Gordon formula alone is not the full model.</x:v>
      </x:c>
    </x:row>
    <x:row r="15" ht="83" customHeight="1">
      <x:c r="A15" s="6" t="str">
        <x:v>Scenario clarification</x:v>
      </x:c>
      <x:c r="B15" s="11" t="str">
        <x:v>The bear/base/bull values are weighted valuations. Bear Rp 4,162 implies +6.7% versus the observed Rp 3,900.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3" hidden="0" customWidth="1"/>
  </x:cols>
  <x:sheetData>
    <x:row r="1" ht="31" customHeight="1">
      <x:c r="A1" s="18" t="str">
        <x:v>Source and suitability policy / export-time snapshot</x:v>
      </x:c>
      <x:c r="B1" s="4"/>
    </x:row>
    <x:row r="2" ht="23" customHeight="1">
      <x:c r="A2" s="6" t="str">
        <x:v>Rating allowed at export</x:v>
      </x:c>
      <x:c r="B2" s="2" t="n">
        <x:v>1</x:v>
      </x:c>
    </x:row>
    <x:row r="3" ht="23" customHeight="1">
      <x:c r="A3" s="6" t="str">
        <x:v>Status</x:v>
      </x:c>
      <x:c r="B3" s="6" t="str">
        <x:v>RECONCILED</x:v>
      </x:c>
    </x:row>
    <x:row r="4" ht="23" customHeight="1">
      <x:c r="A4" s="6" t="str">
        <x:v>Reason</x:v>
      </x:c>
      <x:c r="B4" s="6" t="str"/>
    </x:row>
    <x:row r="5" ht="135" customHeight="1">
      <x:c r="A5" s="6" t="str">
        <x:v>Scope</x:v>
      </x:c>
      <x:c r="B5" s="11" t="str">
        <x:v>Re-upload or refresh in RALVEN after changing source facts, fiscal basis, peer membership or provenance. Excel recomputes valuation arithmetic; it does not independently verify source documents.</x:v>
      </x:c>
    </x:row>
    <x:row r="6" ht="23" customHeight="1">
      <x:c r="A6" s="6" t="str">
        <x:v>Period basis</x:v>
      </x:c>
      <x:c r="B6" s="6" t="str">
        <x:v>TTM</x:v>
      </x:c>
    </x:row>
    <x:row r="7" ht="23" customHeight="1">
      <x:c r="A7" s="6" t="str">
        <x:v>Annual reference</x:v>
      </x:c>
      <x:c r="B7" s="6" t="str">
        <x:v>2025-12-31</x:v>
      </x:c>
    </x:row>
    <x:row r="8" ht="31" customHeight="1">
      <x:c r="A8" s="6" t="str">
        <x:v>Balance presentation</x:v>
      </x:c>
      <x:c r="B8" s="11" t="str">
        <x:v>No separately deducted fund line</x:v>
      </x:c>
    </x:row>
    <x:row r="9" ht="23" customHeight="1">
      <x:c r="A9" s="6" t="str">
        <x:v>Balance residual IDR bn</x:v>
      </x:c>
      <x:c r="B9" s="2" t="n">
        <x:v>-2.3283064365386963e-10</x:v>
      </x:c>
    </x:row>
    <x:row r="10" ht="23" customHeight="1">
      <x:c r="A10" s="6" t="str">
        <x:v>Decision kind</x:v>
      </x:c>
      <x:c r="B10" s="6" t="str">
        <x:v>VALUATION</x:v>
      </x:c>
    </x:row>
    <x:row r="11" ht="23" customHeight="1">
      <x:c r="A11" s="6" t="str">
        <x:v>Assurance</x:v>
      </x:c>
      <x:c r="B11" s="6" t="str">
        <x:v>MEDIUM</x:v>
      </x:c>
    </x:row>
    <x:row r="12" ht="122" customHeight="1">
      <x:c r="A12" s="6" t="str">
        <x:v>Meaning</x:v>
      </x:c>
      <x:c r="B12" s="11" t="str">
        <x:v>Conditional values are model-implied signals with limitations. Technical signals do not imply intrinsic value. WAIT requires data remediation. Source policy is frozen at export.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</x:cols>
  <x:sheetData>
    <x:row r="1" ht="23" customHeight="1">
      <x:c r="A1" s="5" t="str">
        <x:v>field</x:v>
      </x:c>
      <x:c r="B1" s="5" t="str">
        <x:v>value</x:v>
      </x:c>
      <x:c r="C1" s="5" t="str">
        <x:v>currency</x:v>
      </x:c>
      <x:c r="D1" s="5" t="str">
        <x:v>unit</x:v>
      </x:c>
      <x:c r="E1" s="5" t="str">
        <x:v>period</x:v>
      </x:c>
      <x:c r="F1" s="5" t="str">
        <x:v>duration</x:v>
      </x:c>
      <x:c r="G1" s="5" t="str">
        <x:v>definition</x:v>
      </x:c>
      <x:c r="H1" s="5" t="str">
        <x:v>sourceId</x:v>
      </x:c>
      <x:c r="I1" s="5" t="str">
        <x:v>sourceGroup</x:v>
      </x:c>
      <x:c r="J1" s="5" t="str">
        <x:v>sourceType</x:v>
      </x:c>
      <x:c r="K1" s="5" t="str">
        <x:v>url</x:v>
      </x:c>
      <x:c r="L1" s="5" t="str">
        <x:v>locator</x:v>
      </x:c>
      <x:c r="M1" s="5" t="str">
        <x:v>publishedAt</x:v>
      </x:c>
      <x:c r="N1" s="5" t="str">
        <x:v>retrievedAt</x:v>
      </x:c>
    </x:row>
    <x:row r="2" ht="57" customHeight="1">
      <x:c r="A2" s="6" t="str">
        <x:v>revenue</x:v>
      </x:c>
      <x:c r="B2" s="2" t="n">
        <x:v>140173049000000</x:v>
      </x:c>
      <x:c r="C2" s="6" t="str">
        <x:v>IDR</x:v>
      </x:c>
      <x:c r="D2" s="6" t="str">
        <x:v>units</x:v>
      </x:c>
      <x:c r="E2" s="6" t="str">
        <x:v>2025-12-31</x:v>
      </x:c>
      <x:c r="F2" s="2" t="n">
        <x:v>365</x:v>
      </x:c>
      <x:c r="G2" s="6" t="str">
        <x:v>revenue</x:v>
      </x:c>
      <x:c r="H2" s="6" t="str">
        <x:v>yahoo-finance</x:v>
      </x:c>
      <x:c r="I2" s="6" t="str">
        <x:v>yahoo</x:v>
      </x:c>
      <x:c r="J2" s="6" t="str">
        <x:v>aggregator</x:v>
      </x:c>
      <x:c r="K2" s="11" t="str">
        <x:v>https://finance.yahoo.com/quote/BMRI.JK/financials/</x:v>
      </x:c>
      <x:c r="L2" s="11" t="str">
        <x:v>Native annual provider field; valuation conversion disclosed separately</x:v>
      </x:c>
      <x:c r="M2" s="2"/>
      <x:c r="N2" s="6" t="d">
        <x:v>2026-10-25T15:34:55.273Z</x:v>
      </x:c>
    </x:row>
    <x:row r="3" ht="44" customHeight="1">
      <x:c r="A3" s="6" t="str">
        <x:v>ebit</x:v>
      </x:c>
      <x:c r="B3" s="2" t="n">
        <x:v>56293.95</x:v>
      </x:c>
      <x:c r="C3" s="6" t="str">
        <x:v>IDR</x:v>
      </x:c>
      <x:c r="D3" s="6" t="str">
        <x:v>bn</x:v>
      </x:c>
      <x:c r="E3" s="6" t="str">
        <x:v>2025-12-31</x:v>
      </x:c>
      <x:c r="F3" s="2" t="n">
        <x:v>365</x:v>
      </x:c>
      <x:c r="G3" s="6" t="str">
        <x:v>ebit</x:v>
      </x:c>
      <x:c r="H3" s="6" t="str">
        <x:v>yahoo-finance</x:v>
      </x:c>
      <x:c r="I3" s="6" t="str">
        <x:v>yahoo</x:v>
      </x:c>
      <x:c r="J3" s="6" t="str">
        <x:v>aggregator</x:v>
      </x:c>
      <x:c r="K3" s="11" t="str">
        <x:v>https://finance.yahoo.com/quote/BMRI.JK/financials/</x:v>
      </x:c>
      <x:c r="L3" s="6" t="str">
        <x:v>Annual provider field</x:v>
      </x:c>
      <x:c r="M3" s="2"/>
      <x:c r="N3" s="6" t="d">
        <x:v>2026-10-25T15:34:55.273Z</x:v>
      </x:c>
    </x:row>
    <x:row r="4" ht="57" customHeight="1">
      <x:c r="A4" s="6" t="str">
        <x:v>netIncome</x:v>
      </x:c>
      <x:c r="B4" s="2" t="n">
        <x:v>56293950000000</x:v>
      </x:c>
      <x:c r="C4" s="6" t="str">
        <x:v>IDR</x:v>
      </x:c>
      <x:c r="D4" s="6" t="str">
        <x:v>units</x:v>
      </x:c>
      <x:c r="E4" s="6" t="str">
        <x:v>2025-12-31</x:v>
      </x:c>
      <x:c r="F4" s="2" t="n">
        <x:v>365</x:v>
      </x:c>
      <x:c r="G4" s="6" t="str">
        <x:v>parent_profit</x:v>
      </x:c>
      <x:c r="H4" s="6" t="str">
        <x:v>yahoo-finance</x:v>
      </x:c>
      <x:c r="I4" s="6" t="str">
        <x:v>yahoo</x:v>
      </x:c>
      <x:c r="J4" s="6" t="str">
        <x:v>aggregator</x:v>
      </x:c>
      <x:c r="K4" s="11" t="str">
        <x:v>https://finance.yahoo.com/quote/BMRI.JK/financials/</x:v>
      </x:c>
      <x:c r="L4" s="11" t="str">
        <x:v>Native annual provider field; valuation conversion disclosed separately</x:v>
      </x:c>
      <x:c r="M4" s="2"/>
      <x:c r="N4" s="6" t="d">
        <x:v>2026-10-25T15:34:55.273Z</x:v>
      </x:c>
    </x:row>
    <x:row r="5" ht="57" customHeight="1">
      <x:c r="A5" s="6" t="str">
        <x:v>bookEquity</x:v>
      </x:c>
      <x:c r="B5" s="2" t="n">
        <x:v>293750669000000</x:v>
      </x:c>
      <x:c r="C5" s="6" t="str">
        <x:v>IDR</x:v>
      </x:c>
      <x:c r="D5" s="6" t="str">
        <x:v>units</x:v>
      </x:c>
      <x:c r="E5" s="6" t="str">
        <x:v>2025-12-31</x:v>
      </x:c>
      <x:c r="F5" s="2" t="n">
        <x:v>0</x:v>
      </x:c>
      <x:c r="G5" s="6" t="str">
        <x:v>parent_equity</x:v>
      </x:c>
      <x:c r="H5" s="6" t="str">
        <x:v>yahoo-finance</x:v>
      </x:c>
      <x:c r="I5" s="6" t="str">
        <x:v>yahoo</x:v>
      </x:c>
      <x:c r="J5" s="6" t="str">
        <x:v>aggregator</x:v>
      </x:c>
      <x:c r="K5" s="11" t="str">
        <x:v>https://finance.yahoo.com/quote/BMRI.JK/financials/</x:v>
      </x:c>
      <x:c r="L5" s="11" t="str">
        <x:v>Native annual provider field; valuation conversion disclosed separately</x:v>
      </x:c>
      <x:c r="M5" s="2"/>
      <x:c r="N5" s="6" t="d">
        <x:v>2026-10-25T15:34:55.273Z</x:v>
      </x:c>
    </x:row>
    <x:row r="6" ht="44" customHeight="1">
      <x:c r="A6" s="6" t="str">
        <x:v>ebitda</x:v>
      </x:c>
      <x:c r="B6" s="2" t="n">
        <x:v>56293.95</x:v>
      </x:c>
      <x:c r="C6" s="6" t="str">
        <x:v>IDR</x:v>
      </x:c>
      <x:c r="D6" s="6" t="str">
        <x:v>bn</x:v>
      </x:c>
      <x:c r="E6" s="6" t="str">
        <x:v>2025-12-31</x:v>
      </x:c>
      <x:c r="F6" s="2" t="n">
        <x:v>365</x:v>
      </x:c>
      <x:c r="G6" s="6" t="str">
        <x:v>ebitda</x:v>
      </x:c>
      <x:c r="H6" s="6" t="str">
        <x:v>yahoo-finance</x:v>
      </x:c>
      <x:c r="I6" s="6" t="str">
        <x:v>yahoo</x:v>
      </x:c>
      <x:c r="J6" s="6" t="str">
        <x:v>aggregator</x:v>
      </x:c>
      <x:c r="K6" s="11" t="str">
        <x:v>https://finance.yahoo.com/quote/BMRI.JK/financials/</x:v>
      </x:c>
      <x:c r="L6" s="6" t="str">
        <x:v>Annual provider field</x:v>
      </x:c>
      <x:c r="M6" s="2"/>
      <x:c r="N6" s="6" t="d">
        <x:v>2026-10-25T15:34:55.273Z</x:v>
      </x:c>
    </x:row>
    <x:row r="7" ht="57" customHeight="1">
      <x:c r="A7" s="6" t="str">
        <x:v>debt</x:v>
      </x:c>
      <x:c r="B7" s="2" t="n">
        <x:v>218797194000000</x:v>
      </x:c>
      <x:c r="C7" s="6" t="str">
        <x:v>IDR</x:v>
      </x:c>
      <x:c r="D7" s="6" t="str">
        <x:v>units</x:v>
      </x:c>
      <x:c r="E7" s="6" t="str">
        <x:v>2025-12-31</x:v>
      </x:c>
      <x:c r="F7" s="2" t="n">
        <x:v>0</x:v>
      </x:c>
      <x:c r="G7" s="6" t="str">
        <x:v>debt</x:v>
      </x:c>
      <x:c r="H7" s="6" t="str">
        <x:v>yahoo-finance</x:v>
      </x:c>
      <x:c r="I7" s="6" t="str">
        <x:v>yahoo</x:v>
      </x:c>
      <x:c r="J7" s="6" t="str">
        <x:v>aggregator</x:v>
      </x:c>
      <x:c r="K7" s="11" t="str">
        <x:v>https://finance.yahoo.com/quote/BMRI.JK/financials/</x:v>
      </x:c>
      <x:c r="L7" s="11" t="str">
        <x:v>Native annual provider field; valuation conversion disclosed separately</x:v>
      </x:c>
      <x:c r="M7" s="2"/>
      <x:c r="N7" s="6" t="d">
        <x:v>2026-10-25T15:34:55.273Z</x:v>
      </x:c>
    </x:row>
    <x:row r="8" ht="57" customHeight="1">
      <x:c r="A8" s="6" t="str">
        <x:v>cash</x:v>
      </x:c>
      <x:c r="B8" s="2" t="n">
        <x:v>384905876000000</x:v>
      </x:c>
      <x:c r="C8" s="6" t="str">
        <x:v>IDR</x:v>
      </x:c>
      <x:c r="D8" s="6" t="str">
        <x:v>units</x:v>
      </x:c>
      <x:c r="E8" s="6" t="str">
        <x:v>2025-12-31</x:v>
      </x:c>
      <x:c r="F8" s="2" t="n">
        <x:v>0</x:v>
      </x:c>
      <x:c r="G8" s="6" t="str">
        <x:v>cash_equivalents</x:v>
      </x:c>
      <x:c r="H8" s="6" t="str">
        <x:v>yahoo-finance</x:v>
      </x:c>
      <x:c r="I8" s="6" t="str">
        <x:v>yahoo</x:v>
      </x:c>
      <x:c r="J8" s="6" t="str">
        <x:v>aggregator</x:v>
      </x:c>
      <x:c r="K8" s="11" t="str">
        <x:v>https://finance.yahoo.com/quote/BMRI.JK/financials/</x:v>
      </x:c>
      <x:c r="L8" s="11" t="str">
        <x:v>Native annual provider field; valuation conversion disclosed separately</x:v>
      </x:c>
      <x:c r="M8" s="2"/>
      <x:c r="N8" s="6" t="d">
        <x:v>2026-10-25T15:34:55.273Z</x:v>
      </x:c>
    </x:row>
    <x:row r="9" ht="57" customHeight="1">
      <x:c r="A9" s="6" t="str">
        <x:v>minority</x:v>
      </x:c>
      <x:c r="B9" s="2" t="n">
        <x:v>33651329000000</x:v>
      </x:c>
      <x:c r="C9" s="6" t="str">
        <x:v>IDR</x:v>
      </x:c>
      <x:c r="D9" s="6" t="str">
        <x:v>units</x:v>
      </x:c>
      <x:c r="E9" s="6" t="str">
        <x:v>2025-12-31</x:v>
      </x:c>
      <x:c r="F9" s="2" t="n">
        <x:v>0</x:v>
      </x:c>
      <x:c r="G9" s="6" t="str">
        <x:v>minority</x:v>
      </x:c>
      <x:c r="H9" s="6" t="str">
        <x:v>yahoo-finance</x:v>
      </x:c>
      <x:c r="I9" s="6" t="str">
        <x:v>yahoo</x:v>
      </x:c>
      <x:c r="J9" s="6" t="str">
        <x:v>aggregator</x:v>
      </x:c>
      <x:c r="K9" s="11" t="str">
        <x:v>https://finance.yahoo.com/quote/BMRI.JK/financials/</x:v>
      </x:c>
      <x:c r="L9" s="11" t="str">
        <x:v>Native annual provider field; valuation conversion disclosed separately</x:v>
      </x:c>
      <x:c r="M9" s="2"/>
      <x:c r="N9" s="6" t="d">
        <x:v>2026-10-25T15:34:55.273Z</x:v>
      </x:c>
    </x:row>
    <x:row r="10" ht="44" customHeight="1">
      <x:c r="A10" s="6" t="str">
        <x:v>preferred</x:v>
      </x:c>
      <x:c r="B10" s="2" t="n">
        <x:v>0</x:v>
      </x:c>
      <x:c r="C10" s="6" t="str">
        <x:v>IDR</x:v>
      </x:c>
      <x:c r="D10" s="6" t="str">
        <x:v>bn</x:v>
      </x:c>
      <x:c r="E10" s="6" t="str">
        <x:v>2025-12-31</x:v>
      </x:c>
      <x:c r="F10" s="2" t="n">
        <x:v>0</x:v>
      </x:c>
      <x:c r="G10" s="6" t="str">
        <x:v>preferred</x:v>
      </x:c>
      <x:c r="H10" s="6" t="str">
        <x:v>yahoo-finance</x:v>
      </x:c>
      <x:c r="I10" s="6" t="str">
        <x:v>yahoo</x:v>
      </x:c>
      <x:c r="J10" s="6" t="str">
        <x:v>aggregator</x:v>
      </x:c>
      <x:c r="K10" s="11" t="str">
        <x:v>https://finance.yahoo.com/quote/BMRI.JK/financials/</x:v>
      </x:c>
      <x:c r="L10" s="6" t="str">
        <x:v>Annual provider field</x:v>
      </x:c>
      <x:c r="M10" s="2"/>
      <x:c r="N10" s="6" t="d">
        <x:v>2026-10-25T15:34:55.273Z</x:v>
      </x:c>
    </x:row>
    <x:row r="11" ht="57" customHeight="1">
      <x:c r="A11" s="6" t="str">
        <x:v>assets</x:v>
      </x:c>
      <x:c r="B11" s="2" t="n">
        <x:v>2829948026000000</x:v>
      </x:c>
      <x:c r="C11" s="6" t="str">
        <x:v>IDR</x:v>
      </x:c>
      <x:c r="D11" s="6" t="str">
        <x:v>units</x:v>
      </x:c>
      <x:c r="E11" s="6" t="str">
        <x:v>2025-12-31</x:v>
      </x:c>
      <x:c r="F11" s="2" t="n">
        <x:v>0</x:v>
      </x:c>
      <x:c r="G11" s="6" t="str">
        <x:v>assets</x:v>
      </x:c>
      <x:c r="H11" s="6" t="str">
        <x:v>yahoo-finance</x:v>
      </x:c>
      <x:c r="I11" s="6" t="str">
        <x:v>yahoo</x:v>
      </x:c>
      <x:c r="J11" s="6" t="str">
        <x:v>aggregator</x:v>
      </x:c>
      <x:c r="K11" s="11" t="str">
        <x:v>https://finance.yahoo.com/quote/BMRI.JK/financials/</x:v>
      </x:c>
      <x:c r="L11" s="11" t="str">
        <x:v>Native annual provider field; valuation conversion disclosed separately</x:v>
      </x:c>
      <x:c r="M11" s="2"/>
      <x:c r="N11" s="6" t="d">
        <x:v>2026-10-25T15:34:55.273Z</x:v>
      </x:c>
    </x:row>
    <x:row r="12" ht="57" customHeight="1">
      <x:c r="A12" s="6" t="str">
        <x:v>liabilities</x:v>
      </x:c>
      <x:c r="B12" s="2" t="n">
        <x:v>2502546028000000</x:v>
      </x:c>
      <x:c r="C12" s="6" t="str">
        <x:v>IDR</x:v>
      </x:c>
      <x:c r="D12" s="6" t="str">
        <x:v>units</x:v>
      </x:c>
      <x:c r="E12" s="6" t="str">
        <x:v>2025-12-31</x:v>
      </x:c>
      <x:c r="F12" s="2" t="n">
        <x:v>0</x:v>
      </x:c>
      <x:c r="G12" s="6" t="str">
        <x:v>liabilities</x:v>
      </x:c>
      <x:c r="H12" s="6" t="str">
        <x:v>yahoo-finance</x:v>
      </x:c>
      <x:c r="I12" s="6" t="str">
        <x:v>yahoo</x:v>
      </x:c>
      <x:c r="J12" s="6" t="str">
        <x:v>aggregator</x:v>
      </x:c>
      <x:c r="K12" s="11" t="str">
        <x:v>https://finance.yahoo.com/quote/BMRI.JK/financials/</x:v>
      </x:c>
      <x:c r="L12" s="11" t="str">
        <x:v>Native annual provider field; valuation conversion disclosed separately</x:v>
      </x:c>
      <x:c r="M12" s="2"/>
      <x:c r="N12" s="6" t="d">
        <x:v>2026-10-25T15:34:55.273Z</x:v>
      </x:c>
    </x:row>
    <x:row r="13" ht="57" customHeight="1">
      <x:c r="A13" s="6" t="str">
        <x:v>ocf</x:v>
      </x:c>
      <x:c r="B13" s="2" t="n">
        <x:v>206540138000000</x:v>
      </x:c>
      <x:c r="C13" s="6" t="str">
        <x:v>IDR</x:v>
      </x:c>
      <x:c r="D13" s="6" t="str">
        <x:v>units</x:v>
      </x:c>
      <x:c r="E13" s="6" t="str">
        <x:v>2025-12-31</x:v>
      </x:c>
      <x:c r="F13" s="2" t="n">
        <x:v>365</x:v>
      </x:c>
      <x:c r="G13" s="6" t="str">
        <x:v>ocf</x:v>
      </x:c>
      <x:c r="H13" s="6" t="str">
        <x:v>yahoo-finance</x:v>
      </x:c>
      <x:c r="I13" s="6" t="str">
        <x:v>yahoo</x:v>
      </x:c>
      <x:c r="J13" s="6" t="str">
        <x:v>aggregator</x:v>
      </x:c>
      <x:c r="K13" s="11" t="str">
        <x:v>https://finance.yahoo.com/quote/BMRI.JK/financials/</x:v>
      </x:c>
      <x:c r="L13" s="11" t="str">
        <x:v>Native annual provider field; valuation conversion disclosed separately</x:v>
      </x:c>
      <x:c r="M13" s="2"/>
      <x:c r="N13" s="6" t="d">
        <x:v>2026-10-25T15:34:55.273Z</x:v>
      </x:c>
    </x:row>
    <x:row r="14" ht="57" customHeight="1">
      <x:c r="A14" s="6" t="str">
        <x:v>netInterestIncome</x:v>
      </x:c>
      <x:c r="B14" s="2" t="n">
        <x:v>91569586000000</x:v>
      </x:c>
      <x:c r="C14" s="6" t="str">
        <x:v>IDR</x:v>
      </x:c>
      <x:c r="D14" s="6" t="str">
        <x:v>units</x:v>
      </x:c>
      <x:c r="E14" s="6" t="str">
        <x:v>2025-12-31</x:v>
      </x:c>
      <x:c r="F14" s="2" t="n">
        <x:v>365</x:v>
      </x:c>
      <x:c r="G14" s="6" t="str">
        <x:v>netInterestIncome</x:v>
      </x:c>
      <x:c r="H14" s="6" t="str">
        <x:v>yahoo-finance</x:v>
      </x:c>
      <x:c r="I14" s="6" t="str">
        <x:v>yahoo</x:v>
      </x:c>
      <x:c r="J14" s="6" t="str">
        <x:v>aggregator</x:v>
      </x:c>
      <x:c r="K14" s="11" t="str">
        <x:v>https://finance.yahoo.com/quote/BMRI.JK/financials/</x:v>
      </x:c>
      <x:c r="L14" s="11" t="str">
        <x:v>Native annual provider field; valuation conversion disclosed separately</x:v>
      </x:c>
      <x:c r="M14" s="2"/>
      <x:c r="N14" s="6" t="d">
        <x:v>2026-10-25T15:34:55.273Z</x:v>
      </x:c>
    </x:row>
    <x:row r="15" ht="44" customHeight="1">
      <x:c r="A15" s="6" t="str">
        <x:v>depreciation</x:v>
      </x:c>
      <x:c r="B15" s="2" t="n">
        <x:v>6106.744</x:v>
      </x:c>
      <x:c r="C15" s="6" t="str">
        <x:v>IDR</x:v>
      </x:c>
      <x:c r="D15" s="6" t="str">
        <x:v>bn</x:v>
      </x:c>
      <x:c r="E15" s="6" t="str">
        <x:v>2025-12-31</x:v>
      </x:c>
      <x:c r="F15" s="2" t="n">
        <x:v>365</x:v>
      </x:c>
      <x:c r="G15" s="6" t="str">
        <x:v>depreciation</x:v>
      </x:c>
      <x:c r="H15" s="6" t="str">
        <x:v>yahoo-finance</x:v>
      </x:c>
      <x:c r="I15" s="6" t="str">
        <x:v>yahoo</x:v>
      </x:c>
      <x:c r="J15" s="6" t="str">
        <x:v>aggregator</x:v>
      </x:c>
      <x:c r="K15" s="11" t="str">
        <x:v>https://finance.yahoo.com/quote/BMRI.JK/financials/</x:v>
      </x:c>
      <x:c r="L15" s="6" t="str">
        <x:v>Annual provider field</x:v>
      </x:c>
      <x:c r="M15" s="2"/>
      <x:c r="N15" s="6" t="d">
        <x:v>2026-10-25T15:34:55.273Z</x:v>
      </x:c>
    </x:row>
    <x:row r="16" ht="57" customHeight="1">
      <x:c r="A16" s="6" t="str">
        <x:v>capex</x:v>
      </x:c>
      <x:c r="B16" s="2" t="n">
        <x:v>7504327000000</x:v>
      </x:c>
      <x:c r="C16" s="6" t="str">
        <x:v>IDR</x:v>
      </x:c>
      <x:c r="D16" s="6" t="str">
        <x:v>units</x:v>
      </x:c>
      <x:c r="E16" s="6" t="str">
        <x:v>2025-12-31</x:v>
      </x:c>
      <x:c r="F16" s="2" t="n">
        <x:v>365</x:v>
      </x:c>
      <x:c r="G16" s="6" t="str">
        <x:v>capex</x:v>
      </x:c>
      <x:c r="H16" s="6" t="str">
        <x:v>yahoo-finance</x:v>
      </x:c>
      <x:c r="I16" s="6" t="str">
        <x:v>yahoo</x:v>
      </x:c>
      <x:c r="J16" s="6" t="str">
        <x:v>aggregator</x:v>
      </x:c>
      <x:c r="K16" s="11" t="str">
        <x:v>https://finance.yahoo.com/quote/BMRI.JK/financials/</x:v>
      </x:c>
      <x:c r="L16" s="11" t="str">
        <x:v>Native annual provider field; valuation conversion disclosed separately</x:v>
      </x:c>
      <x:c r="M16" s="2"/>
      <x:c r="N16" s="6" t="d">
        <x:v>2026-10-25T15:34:55.273Z</x:v>
      </x:c>
    </x:row>
    <x:row r="17" ht="148" customHeight="1">
      <x:c r="A17" s="6" t="str">
        <x:v>netIncome</x:v>
      </x:c>
      <x:c r="B17" s="2" t="n">
        <x:v>56293950000000</x:v>
      </x:c>
      <x:c r="C17" s="6" t="str">
        <x:v>IDR</x:v>
      </x:c>
      <x:c r="D17" s="6" t="str">
        <x:v>units</x:v>
      </x:c>
      <x:c r="E17" s="6" t="str">
        <x:v>2025-12-31</x:v>
      </x:c>
      <x:c r="F17" s="2" t="n">
        <x:v>365</x:v>
      </x:c>
      <x:c r="G17" s="6" t="str">
        <x:v>parent_profit</x:v>
      </x:c>
      <x:c r="H17" s="6" t="str">
        <x:v>idx-xbrl</x:v>
      </x:c>
      <x:c r="I17" s="6" t="str">
        <x:v>issuer:BMRI</x:v>
      </x:c>
      <x:c r="J17" s="6" t="str">
        <x:v>primary</x:v>
      </x:c>
      <x:c r="K17" s="11" t="str">
        <x:v>https://www.idx.id/Portals/0/StaticData/ListedCompanies/Corporate_Actions/New_Info_JSX/Jenis_Informasi/01_Laporan_Keuangan/02_Soft_Copy_Laporan_Keuangan//Laporan%20Keuangan%20Tahun%202025/Audit/BMRI/instance.zip</x:v>
      </x:c>
      <x:c r="L17" s="11" t="str">
        <x:v>ProfitLossAttributableToParentEntity / CurrentYearDuration</x:v>
      </x:c>
      <x:c r="M17" s="6" t="str">
        <x:v>2026-02-20</x:v>
      </x:c>
      <x:c r="N17" s="6" t="d">
        <x:v>2026-10-24T16:17:20.353Z</x:v>
      </x:c>
    </x:row>
    <x:row r="18" ht="148" customHeight="1">
      <x:c r="A18" s="6" t="str">
        <x:v>netIncome</x:v>
      </x:c>
      <x:c r="B18" s="2" t="n">
        <x:v>55782742000000</x:v>
      </x:c>
      <x:c r="C18" s="6" t="str">
        <x:v>IDR</x:v>
      </x:c>
      <x:c r="D18" s="6" t="str">
        <x:v>units</x:v>
      </x:c>
      <x:c r="E18" s="6" t="str">
        <x:v>2024-12-31</x:v>
      </x:c>
      <x:c r="F18" s="2" t="n">
        <x:v>366</x:v>
      </x:c>
      <x:c r="G18" s="6" t="str">
        <x:v>parent_profit</x:v>
      </x:c>
      <x:c r="H18" s="6" t="str">
        <x:v>idx-xbrl</x:v>
      </x:c>
      <x:c r="I18" s="6" t="str">
        <x:v>issuer:BMRI</x:v>
      </x:c>
      <x:c r="J18" s="6" t="str">
        <x:v>primary</x:v>
      </x:c>
      <x:c r="K18" s="11" t="str">
        <x:v>https://www.idx.id/Portals/0/StaticData/ListedCompanies/Corporate_Actions/New_Info_JSX/Jenis_Informasi/01_Laporan_Keuangan/02_Soft_Copy_Laporan_Keuangan//Laporan%20Keuangan%20Tahun%202025/Audit/BMRI/instance.zip</x:v>
      </x:c>
      <x:c r="L18" s="11" t="str">
        <x:v>ProfitLossAttributableToParentEntity / PriorYearDuration</x:v>
      </x:c>
      <x:c r="M18" s="6" t="str">
        <x:v>2026-02-20</x:v>
      </x:c>
      <x:c r="N18" s="6" t="d">
        <x:v>2026-10-24T16:17:20.353Z</x:v>
      </x:c>
    </x:row>
    <x:row r="19" ht="148" customHeight="1">
      <x:c r="A19" s="6" t="str">
        <x:v>bookEquity</x:v>
      </x:c>
      <x:c r="B19" s="2" t="n">
        <x:v>293750669000000</x:v>
      </x:c>
      <x:c r="C19" s="6" t="str">
        <x:v>IDR</x:v>
      </x:c>
      <x:c r="D19" s="6" t="str">
        <x:v>units</x:v>
      </x:c>
      <x:c r="E19" s="6" t="str">
        <x:v>2025-12-31</x:v>
      </x:c>
      <x:c r="F19" s="2" t="n">
        <x:v>0</x:v>
      </x:c>
      <x:c r="G19" s="6" t="str">
        <x:v>parent_equity</x:v>
      </x:c>
      <x:c r="H19" s="6" t="str">
        <x:v>idx-xbrl</x:v>
      </x:c>
      <x:c r="I19" s="6" t="str">
        <x:v>issuer:BMRI</x:v>
      </x:c>
      <x:c r="J19" s="6" t="str">
        <x:v>primary</x:v>
      </x:c>
      <x:c r="K19" s="11" t="str">
        <x:v>https://www.idx.id/Portals/0/StaticData/ListedCompanies/Corporate_Actions/New_Info_JSX/Jenis_Informasi/01_Laporan_Keuangan/02_Soft_Copy_Laporan_Keuangan//Laporan%20Keuangan%20Tahun%202025/Audit/BMRI/instance.zip</x:v>
      </x:c>
      <x:c r="L19" s="11" t="str">
        <x:v>EquityAttributableToEquityOwnersOfParentEntity / CurrentYearInstant</x:v>
      </x:c>
      <x:c r="M19" s="6" t="str">
        <x:v>2026-02-20</x:v>
      </x:c>
      <x:c r="N19" s="6" t="d">
        <x:v>2026-10-24T16:17:20.353Z</x:v>
      </x:c>
    </x:row>
    <x:row r="20" ht="148" customHeight="1">
      <x:c r="A20" s="6" t="str">
        <x:v>bookEquity</x:v>
      </x:c>
      <x:c r="B20" s="2" t="n">
        <x:v>283796429000000</x:v>
      </x:c>
      <x:c r="C20" s="6" t="str">
        <x:v>IDR</x:v>
      </x:c>
      <x:c r="D20" s="6" t="str">
        <x:v>units</x:v>
      </x:c>
      <x:c r="E20" s="6" t="str">
        <x:v>2024-12-31</x:v>
      </x:c>
      <x:c r="F20" s="2" t="n">
        <x:v>0</x:v>
      </x:c>
      <x:c r="G20" s="6" t="str">
        <x:v>parent_equity</x:v>
      </x:c>
      <x:c r="H20" s="6" t="str">
        <x:v>idx-xbrl</x:v>
      </x:c>
      <x:c r="I20" s="6" t="str">
        <x:v>issuer:BMRI</x:v>
      </x:c>
      <x:c r="J20" s="6" t="str">
        <x:v>primary</x:v>
      </x:c>
      <x:c r="K20" s="11" t="str">
        <x:v>https://www.idx.id/Portals/0/StaticData/ListedCompanies/Corporate_Actions/New_Info_JSX/Jenis_Informasi/01_Laporan_Keuangan/02_Soft_Copy_Laporan_Keuangan//Laporan%20Keuangan%20Tahun%202025/Audit/BMRI/instance.zip</x:v>
      </x:c>
      <x:c r="L20" s="11" t="str">
        <x:v>EquityAttributableToEquityOwnersOfParentEntity / PriorEndYearInstant</x:v>
      </x:c>
      <x:c r="M20" s="6" t="str">
        <x:v>2026-02-20</x:v>
      </x:c>
      <x:c r="N20" s="6" t="d">
        <x:v>2026-10-24T16:17:20.353Z</x:v>
      </x:c>
    </x:row>
    <x:row r="21" ht="148" customHeight="1">
      <x:c r="A21" s="6" t="str">
        <x:v>assets</x:v>
      </x:c>
      <x:c r="B21" s="2" t="n">
        <x:v>2829948026000000</x:v>
      </x:c>
      <x:c r="C21" s="6" t="str">
        <x:v>IDR</x:v>
      </x:c>
      <x:c r="D21" s="6" t="str">
        <x:v>units</x:v>
      </x:c>
      <x:c r="E21" s="6" t="str">
        <x:v>2025-12-31</x:v>
      </x:c>
      <x:c r="F21" s="2" t="n">
        <x:v>0</x:v>
      </x:c>
      <x:c r="G21" s="6" t="str">
        <x:v>assets</x:v>
      </x:c>
      <x:c r="H21" s="6" t="str">
        <x:v>idx-xbrl</x:v>
      </x:c>
      <x:c r="I21" s="6" t="str">
        <x:v>issuer:BMRI</x:v>
      </x:c>
      <x:c r="J21" s="6" t="str">
        <x:v>primary</x:v>
      </x:c>
      <x:c r="K21" s="11" t="str">
        <x:v>https://www.idx.id/Portals/0/StaticData/ListedCompanies/Corporate_Actions/New_Info_JSX/Jenis_Informasi/01_Laporan_Keuangan/02_Soft_Copy_Laporan_Keuangan//Laporan%20Keuangan%20Tahun%202025/Audit/BMRI/instance.zip</x:v>
      </x:c>
      <x:c r="L21" s="6" t="str">
        <x:v>Assets / CurrentYearInstant</x:v>
      </x:c>
      <x:c r="M21" s="6" t="str">
        <x:v>2026-02-20</x:v>
      </x:c>
      <x:c r="N21" s="6" t="d">
        <x:v>2026-10-24T16:17:20.353Z</x:v>
      </x:c>
    </x:row>
    <x:row r="22" ht="148" customHeight="1">
      <x:c r="A22" s="6" t="str">
        <x:v>assets</x:v>
      </x:c>
      <x:c r="B22" s="2" t="n">
        <x:v>2427223262000000</x:v>
      </x:c>
      <x:c r="C22" s="6" t="str">
        <x:v>IDR</x:v>
      </x:c>
      <x:c r="D22" s="6" t="str">
        <x:v>units</x:v>
      </x:c>
      <x:c r="E22" s="6" t="str">
        <x:v>2024-12-31</x:v>
      </x:c>
      <x:c r="F22" s="2" t="n">
        <x:v>0</x:v>
      </x:c>
      <x:c r="G22" s="6" t="str">
        <x:v>assets</x:v>
      </x:c>
      <x:c r="H22" s="6" t="str">
        <x:v>idx-xbrl</x:v>
      </x:c>
      <x:c r="I22" s="6" t="str">
        <x:v>issuer:BMRI</x:v>
      </x:c>
      <x:c r="J22" s="6" t="str">
        <x:v>primary</x:v>
      </x:c>
      <x:c r="K22" s="11" t="str">
        <x:v>https://www.idx.id/Portals/0/StaticData/ListedCompanies/Corporate_Actions/New_Info_JSX/Jenis_Informasi/01_Laporan_Keuangan/02_Soft_Copy_Laporan_Keuangan//Laporan%20Keuangan%20Tahun%202025/Audit/BMRI/instance.zip</x:v>
      </x:c>
      <x:c r="L22" s="6" t="str">
        <x:v>Assets / PriorEndYearInstant</x:v>
      </x:c>
      <x:c r="M22" s="6" t="str">
        <x:v>2026-02-20</x:v>
      </x:c>
      <x:c r="N22" s="6" t="d">
        <x:v>2026-10-24T16:17:20.353Z</x:v>
      </x:c>
    </x:row>
    <x:row r="23" ht="148" customHeight="1">
      <x:c r="A23" s="6" t="str">
        <x:v>liabilities</x:v>
      </x:c>
      <x:c r="B23" s="2" t="n">
        <x:v>2212925204000000</x:v>
      </x:c>
      <x:c r="C23" s="6" t="str">
        <x:v>IDR</x:v>
      </x:c>
      <x:c r="D23" s="6" t="str">
        <x:v>units</x:v>
      </x:c>
      <x:c r="E23" s="6" t="str">
        <x:v>2025-12-31</x:v>
      </x:c>
      <x:c r="F23" s="2" t="n">
        <x:v>0</x:v>
      </x:c>
      <x:c r="G23" s="6" t="str">
        <x:v>liabilities</x:v>
      </x:c>
      <x:c r="H23" s="6" t="str">
        <x:v>idx-xbrl</x:v>
      </x:c>
      <x:c r="I23" s="6" t="str">
        <x:v>issuer:BMRI</x:v>
      </x:c>
      <x:c r="J23" s="6" t="str">
        <x:v>primary</x:v>
      </x:c>
      <x:c r="K23" s="11" t="str">
        <x:v>https://www.idx.id/Portals/0/StaticData/ListedCompanies/Corporate_Actions/New_Info_JSX/Jenis_Informasi/01_Laporan_Keuangan/02_Soft_Copy_Laporan_Keuangan//Laporan%20Keuangan%20Tahun%202025/Audit/BMRI/instance.zip</x:v>
      </x:c>
      <x:c r="L23" s="11" t="str">
        <x:v>Liabilities / CurrentYearInstant</x:v>
      </x:c>
      <x:c r="M23" s="6" t="str">
        <x:v>2026-02-20</x:v>
      </x:c>
      <x:c r="N23" s="6" t="d">
        <x:v>2026-10-24T16:17:20.353Z</x:v>
      </x:c>
    </x:row>
    <x:row r="24" ht="148" customHeight="1">
      <x:c r="A24" s="6" t="str">
        <x:v>liabilities</x:v>
      </x:c>
      <x:c r="B24" s="2" t="n">
        <x:v>1860408316000000</x:v>
      </x:c>
      <x:c r="C24" s="6" t="str">
        <x:v>IDR</x:v>
      </x:c>
      <x:c r="D24" s="6" t="str">
        <x:v>units</x:v>
      </x:c>
      <x:c r="E24" s="6" t="str">
        <x:v>2024-12-31</x:v>
      </x:c>
      <x:c r="F24" s="2" t="n">
        <x:v>0</x:v>
      </x:c>
      <x:c r="G24" s="6" t="str">
        <x:v>liabilities</x:v>
      </x:c>
      <x:c r="H24" s="6" t="str">
        <x:v>idx-xbrl</x:v>
      </x:c>
      <x:c r="I24" s="6" t="str">
        <x:v>issuer:BMRI</x:v>
      </x:c>
      <x:c r="J24" s="6" t="str">
        <x:v>primary</x:v>
      </x:c>
      <x:c r="K24" s="11" t="str">
        <x:v>https://www.idx.id/Portals/0/StaticData/ListedCompanies/Corporate_Actions/New_Info_JSX/Jenis_Informasi/01_Laporan_Keuangan/02_Soft_Copy_Laporan_Keuangan//Laporan%20Keuangan%20Tahun%202025/Audit/BMRI/instance.zip</x:v>
      </x:c>
      <x:c r="L24" s="11" t="str">
        <x:v>Liabilities / PriorEndYearInstant</x:v>
      </x:c>
      <x:c r="M24" s="6" t="str">
        <x:v>2026-02-20</x:v>
      </x:c>
      <x:c r="N24" s="6" t="d">
        <x:v>2026-10-24T16:17:20.353Z</x:v>
      </x:c>
    </x:row>
    <x:row r="25" ht="148" customHeight="1">
      <x:c r="A25" s="6" t="str">
        <x:v>totalEquity</x:v>
      </x:c>
      <x:c r="B25" s="2" t="n">
        <x:v>327401998000000</x:v>
      </x:c>
      <x:c r="C25" s="6" t="str">
        <x:v>IDR</x:v>
      </x:c>
      <x:c r="D25" s="6" t="str">
        <x:v>units</x:v>
      </x:c>
      <x:c r="E25" s="6" t="str">
        <x:v>2025-12-31</x:v>
      </x:c>
      <x:c r="F25" s="2" t="n">
        <x:v>0</x:v>
      </x:c>
      <x:c r="G25" s="6" t="str">
        <x:v>totalEquity</x:v>
      </x:c>
      <x:c r="H25" s="6" t="str">
        <x:v>idx-xbrl</x:v>
      </x:c>
      <x:c r="I25" s="6" t="str">
        <x:v>issuer:BMRI</x:v>
      </x:c>
      <x:c r="J25" s="6" t="str">
        <x:v>primary</x:v>
      </x:c>
      <x:c r="K25" s="11" t="str">
        <x:v>https://www.idx.id/Portals/0/StaticData/ListedCompanies/Corporate_Actions/New_Info_JSX/Jenis_Informasi/01_Laporan_Keuangan/02_Soft_Copy_Laporan_Keuangan//Laporan%20Keuangan%20Tahun%202025/Audit/BMRI/instance.zip</x:v>
      </x:c>
      <x:c r="L25" s="6" t="str">
        <x:v>Equity / CurrentYearInstant</x:v>
      </x:c>
      <x:c r="M25" s="6" t="str">
        <x:v>2026-02-20</x:v>
      </x:c>
      <x:c r="N25" s="6" t="d">
        <x:v>2026-10-24T16:17:20.353Z</x:v>
      </x:c>
    </x:row>
    <x:row r="26" ht="148" customHeight="1">
      <x:c r="A26" s="6" t="str">
        <x:v>totalEquity</x:v>
      </x:c>
      <x:c r="B26" s="2" t="n">
        <x:v>313474681000000</x:v>
      </x:c>
      <x:c r="C26" s="6" t="str">
        <x:v>IDR</x:v>
      </x:c>
      <x:c r="D26" s="6" t="str">
        <x:v>units</x:v>
      </x:c>
      <x:c r="E26" s="6" t="str">
        <x:v>2024-12-31</x:v>
      </x:c>
      <x:c r="F26" s="2" t="n">
        <x:v>0</x:v>
      </x:c>
      <x:c r="G26" s="6" t="str">
        <x:v>totalEquity</x:v>
      </x:c>
      <x:c r="H26" s="6" t="str">
        <x:v>idx-xbrl</x:v>
      </x:c>
      <x:c r="I26" s="6" t="str">
        <x:v>issuer:BMRI</x:v>
      </x:c>
      <x:c r="J26" s="6" t="str">
        <x:v>primary</x:v>
      </x:c>
      <x:c r="K26" s="11" t="str">
        <x:v>https://www.idx.id/Portals/0/StaticData/ListedCompanies/Corporate_Actions/New_Info_JSX/Jenis_Informasi/01_Laporan_Keuangan/02_Soft_Copy_Laporan_Keuangan//Laporan%20Keuangan%20Tahun%202025/Audit/BMRI/instance.zip</x:v>
      </x:c>
      <x:c r="L26" s="6" t="str">
        <x:v>Equity / PriorEndYearInstant</x:v>
      </x:c>
      <x:c r="M26" s="6" t="str">
        <x:v>2026-02-20</x:v>
      </x:c>
      <x:c r="N26" s="6" t="d">
        <x:v>2026-10-24T16:17:20.353Z</x:v>
      </x:c>
    </x:row>
    <x:row r="27" ht="148" customHeight="1">
      <x:c r="A27" s="6" t="str">
        <x:v>minority</x:v>
      </x:c>
      <x:c r="B27" s="2" t="n">
        <x:v>33651329000000</x:v>
      </x:c>
      <x:c r="C27" s="6" t="str">
        <x:v>IDR</x:v>
      </x:c>
      <x:c r="D27" s="6" t="str">
        <x:v>units</x:v>
      </x:c>
      <x:c r="E27" s="6" t="str">
        <x:v>2025-12-31</x:v>
      </x:c>
      <x:c r="F27" s="2" t="n">
        <x:v>0</x:v>
      </x:c>
      <x:c r="G27" s="6" t="str">
        <x:v>minority</x:v>
      </x:c>
      <x:c r="H27" s="6" t="str">
        <x:v>idx-xbrl</x:v>
      </x:c>
      <x:c r="I27" s="6" t="str">
        <x:v>issuer:BMRI</x:v>
      </x:c>
      <x:c r="J27" s="6" t="str">
        <x:v>primary</x:v>
      </x:c>
      <x:c r="K27" s="11" t="str">
        <x:v>https://www.idx.id/Portals/0/StaticData/ListedCompanies/Corporate_Actions/New_Info_JSX/Jenis_Informasi/01_Laporan_Keuangan/02_Soft_Copy_Laporan_Keuangan//Laporan%20Keuangan%20Tahun%202025/Audit/BMRI/instance.zip</x:v>
      </x:c>
      <x:c r="L27" s="11" t="str">
        <x:v>NonControllingInterests / CurrentYearInstant</x:v>
      </x:c>
      <x:c r="M27" s="6" t="str">
        <x:v>2026-02-20</x:v>
      </x:c>
      <x:c r="N27" s="6" t="d">
        <x:v>2026-10-24T16:17:20.353Z</x:v>
      </x:c>
    </x:row>
    <x:row r="28" ht="148" customHeight="1">
      <x:c r="A28" s="6" t="str">
        <x:v>minority</x:v>
      </x:c>
      <x:c r="B28" s="2" t="n">
        <x:v>29678252000000</x:v>
      </x:c>
      <x:c r="C28" s="6" t="str">
        <x:v>IDR</x:v>
      </x:c>
      <x:c r="D28" s="6" t="str">
        <x:v>units</x:v>
      </x:c>
      <x:c r="E28" s="6" t="str">
        <x:v>2024-12-31</x:v>
      </x:c>
      <x:c r="F28" s="2" t="n">
        <x:v>0</x:v>
      </x:c>
      <x:c r="G28" s="6" t="str">
        <x:v>minority</x:v>
      </x:c>
      <x:c r="H28" s="6" t="str">
        <x:v>idx-xbrl</x:v>
      </x:c>
      <x:c r="I28" s="6" t="str">
        <x:v>issuer:BMRI</x:v>
      </x:c>
      <x:c r="J28" s="6" t="str">
        <x:v>primary</x:v>
      </x:c>
      <x:c r="K28" s="11" t="str">
        <x:v>https://www.idx.id/Portals/0/StaticData/ListedCompanies/Corporate_Actions/New_Info_JSX/Jenis_Informasi/01_Laporan_Keuangan/02_Soft_Copy_Laporan_Keuangan//Laporan%20Keuangan%20Tahun%202025/Audit/BMRI/instance.zip</x:v>
      </x:c>
      <x:c r="L28" s="11" t="str">
        <x:v>NonControllingInterests / PriorEndYearInstant</x:v>
      </x:c>
      <x:c r="M28" s="6" t="str">
        <x:v>2026-02-20</x:v>
      </x:c>
      <x:c r="N28" s="6" t="d">
        <x:v>2026-10-24T16:17:20.353Z</x:v>
      </x:c>
    </x:row>
    <x:row r="29" ht="148" customHeight="1">
      <x:c r="A29" s="6" t="str">
        <x:v>ocf</x:v>
      </x:c>
      <x:c r="B29" s="2" t="n">
        <x:v>154183604000000</x:v>
      </x:c>
      <x:c r="C29" s="6" t="str">
        <x:v>IDR</x:v>
      </x:c>
      <x:c r="D29" s="6" t="str">
        <x:v>units</x:v>
      </x:c>
      <x:c r="E29" s="6" t="str">
        <x:v>2025-12-31</x:v>
      </x:c>
      <x:c r="F29" s="2" t="n">
        <x:v>365</x:v>
      </x:c>
      <x:c r="G29" s="6" t="str">
        <x:v>ocf</x:v>
      </x:c>
      <x:c r="H29" s="6" t="str">
        <x:v>idx-xbrl</x:v>
      </x:c>
      <x:c r="I29" s="6" t="str">
        <x:v>issuer:BMRI</x:v>
      </x:c>
      <x:c r="J29" s="6" t="str">
        <x:v>primary</x:v>
      </x:c>
      <x:c r="K29" s="11" t="str">
        <x:v>https://www.idx.id/Portals/0/StaticData/ListedCompanies/Corporate_Actions/New_Info_JSX/Jenis_Informasi/01_Laporan_Keuangan/02_Soft_Copy_Laporan_Keuangan//Laporan%20Keuangan%20Tahun%202025/Audit/BMRI/instance.zip</x:v>
      </x:c>
      <x:c r="L29" s="11" t="str">
        <x:v>NetCashFlowsReceivedFromUsedInOperatingActivities / CurrentYearDuration</x:v>
      </x:c>
      <x:c r="M29" s="6" t="str">
        <x:v>2026-02-20</x:v>
      </x:c>
      <x:c r="N29" s="6" t="d">
        <x:v>2026-10-24T16:17:20.353Z</x:v>
      </x:c>
    </x:row>
    <x:row r="30" ht="148" customHeight="1">
      <x:c r="A30" s="6" t="str">
        <x:v>ocf</x:v>
      </x:c>
      <x:c r="B30" s="2" t="n">
        <x:v>-26186927000000</x:v>
      </x:c>
      <x:c r="C30" s="6" t="str">
        <x:v>IDR</x:v>
      </x:c>
      <x:c r="D30" s="6" t="str">
        <x:v>units</x:v>
      </x:c>
      <x:c r="E30" s="6" t="str">
        <x:v>2024-12-31</x:v>
      </x:c>
      <x:c r="F30" s="2" t="n">
        <x:v>366</x:v>
      </x:c>
      <x:c r="G30" s="6" t="str">
        <x:v>ocf</x:v>
      </x:c>
      <x:c r="H30" s="6" t="str">
        <x:v>idx-xbrl</x:v>
      </x:c>
      <x:c r="I30" s="6" t="str">
        <x:v>issuer:BMRI</x:v>
      </x:c>
      <x:c r="J30" s="6" t="str">
        <x:v>primary</x:v>
      </x:c>
      <x:c r="K30" s="11" t="str">
        <x:v>https://www.idx.id/Portals/0/StaticData/ListedCompanies/Corporate_Actions/New_Info_JSX/Jenis_Informasi/01_Laporan_Keuangan/02_Soft_Copy_Laporan_Keuangan//Laporan%20Keuangan%20Tahun%202025/Audit/BMRI/instance.zip</x:v>
      </x:c>
      <x:c r="L30" s="11" t="str">
        <x:v>NetCashFlowsReceivedFromUsedInOperatingActivities / PriorYearDuration</x:v>
      </x:c>
      <x:c r="M30" s="6" t="str">
        <x:v>2026-02-20</x:v>
      </x:c>
      <x:c r="N30" s="6" t="d">
        <x:v>2026-10-24T16:17:20.353Z</x:v>
      </x:c>
    </x:row>
    <x:row r="31" ht="148" customHeight="1">
      <x:c r="A31" s="6" t="str">
        <x:v>ebit</x:v>
      </x:c>
      <x:c r="B31" s="2" t="n">
        <x:v>76310739000000</x:v>
      </x:c>
      <x:c r="C31" s="6" t="str">
        <x:v>IDR</x:v>
      </x:c>
      <x:c r="D31" s="6" t="str">
        <x:v>units</x:v>
      </x:c>
      <x:c r="E31" s="6" t="str">
        <x:v>2025-12-31</x:v>
      </x:c>
      <x:c r="F31" s="2" t="n">
        <x:v>365</x:v>
      </x:c>
      <x:c r="G31" s="6" t="str">
        <x:v>ebit</x:v>
      </x:c>
      <x:c r="H31" s="6" t="str">
        <x:v>idx-xbrl</x:v>
      </x:c>
      <x:c r="I31" s="6" t="str">
        <x:v>issuer:BMRI</x:v>
      </x:c>
      <x:c r="J31" s="6" t="str">
        <x:v>primary</x:v>
      </x:c>
      <x:c r="K31" s="11" t="str">
        <x:v>https://www.idx.id/Portals/0/StaticData/ListedCompanies/Corporate_Actions/New_Info_JSX/Jenis_Informasi/01_Laporan_Keuangan/02_Soft_Copy_Laporan_Keuangan//Laporan%20Keuangan%20Tahun%202025/Audit/BMRI/instance.zip</x:v>
      </x:c>
      <x:c r="L31" s="11" t="str">
        <x:v>ProfitFromOperation / CurrentYearDuration</x:v>
      </x:c>
      <x:c r="M31" s="6" t="str">
        <x:v>2026-02-20</x:v>
      </x:c>
      <x:c r="N31" s="6" t="d">
        <x:v>2026-10-24T16:17:20.353Z</x:v>
      </x:c>
    </x:row>
    <x:row r="32" ht="148" customHeight="1">
      <x:c r="A32" s="6" t="str">
        <x:v>ebit</x:v>
      </x:c>
      <x:c r="B32" s="2" t="n">
        <x:v>76059595000000</x:v>
      </x:c>
      <x:c r="C32" s="6" t="str">
        <x:v>IDR</x:v>
      </x:c>
      <x:c r="D32" s="6" t="str">
        <x:v>units</x:v>
      </x:c>
      <x:c r="E32" s="6" t="str">
        <x:v>2024-12-31</x:v>
      </x:c>
      <x:c r="F32" s="2" t="n">
        <x:v>366</x:v>
      </x:c>
      <x:c r="G32" s="6" t="str">
        <x:v>ebit</x:v>
      </x:c>
      <x:c r="H32" s="6" t="str">
        <x:v>idx-xbrl</x:v>
      </x:c>
      <x:c r="I32" s="6" t="str">
        <x:v>issuer:BMRI</x:v>
      </x:c>
      <x:c r="J32" s="6" t="str">
        <x:v>primary</x:v>
      </x:c>
      <x:c r="K32" s="11" t="str">
        <x:v>https://www.idx.id/Portals/0/StaticData/ListedCompanies/Corporate_Actions/New_Info_JSX/Jenis_Informasi/01_Laporan_Keuangan/02_Soft_Copy_Laporan_Keuangan//Laporan%20Keuangan%20Tahun%202025/Audit/BMRI/instance.zip</x:v>
      </x:c>
      <x:c r="L32" s="11" t="str">
        <x:v>ProfitFromOperation / PriorYearDuration</x:v>
      </x:c>
      <x:c r="M32" s="6" t="str">
        <x:v>2026-02-20</x:v>
      </x:c>
      <x:c r="N32" s="6" t="d">
        <x:v>2026-10-24T16:17:20.353Z</x:v>
      </x:c>
    </x:row>
    <x:row r="33" ht="148" customHeight="1">
      <x:c r="A33" s="6" t="str">
        <x:v>temporarySyirkah</x:v>
      </x:c>
      <x:c r="B33" s="2" t="n">
        <x:v>289620824000000</x:v>
      </x:c>
      <x:c r="C33" s="6" t="str">
        <x:v>IDR</x:v>
      </x:c>
      <x:c r="D33" s="6" t="str">
        <x:v>units</x:v>
      </x:c>
      <x:c r="E33" s="6" t="str">
        <x:v>2025-12-31</x:v>
      </x:c>
      <x:c r="F33" s="2" t="n">
        <x:v>0</x:v>
      </x:c>
      <x:c r="G33" s="6" t="str">
        <x:v>temporarySyirkah</x:v>
      </x:c>
      <x:c r="H33" s="6" t="str">
        <x:v>idx-xbrl</x:v>
      </x:c>
      <x:c r="I33" s="6" t="str">
        <x:v>issuer:BMRI</x:v>
      </x:c>
      <x:c r="J33" s="6" t="str">
        <x:v>primary</x:v>
      </x:c>
      <x:c r="K33" s="11" t="str">
        <x:v>https://www.idx.id/Portals/0/StaticData/ListedCompanies/Corporate_Actions/New_Info_JSX/Jenis_Informasi/01_Laporan_Keuangan/02_Soft_Copy_Laporan_Keuangan//Laporan%20Keuangan%20Tahun%202025/Audit/BMRI/instance.zip</x:v>
      </x:c>
      <x:c r="L33" s="11" t="str">
        <x:v>TemporarySyirkahFunds / CurrentYearInstant</x:v>
      </x:c>
      <x:c r="M33" s="6" t="str">
        <x:v>2026-02-20</x:v>
      </x:c>
      <x:c r="N33" s="6" t="d">
        <x:v>2026-10-24T16:17:20.353Z</x:v>
      </x:c>
    </x:row>
    <x:row r="34" ht="148" customHeight="1">
      <x:c r="A34" s="6" t="str">
        <x:v>temporarySyirkah</x:v>
      </x:c>
      <x:c r="B34" s="2" t="n">
        <x:v>253340265000000</x:v>
      </x:c>
      <x:c r="C34" s="6" t="str">
        <x:v>IDR</x:v>
      </x:c>
      <x:c r="D34" s="6" t="str">
        <x:v>units</x:v>
      </x:c>
      <x:c r="E34" s="6" t="str">
        <x:v>2024-12-31</x:v>
      </x:c>
      <x:c r="F34" s="2" t="n">
        <x:v>0</x:v>
      </x:c>
      <x:c r="G34" s="6" t="str">
        <x:v>temporarySyirkah</x:v>
      </x:c>
      <x:c r="H34" s="6" t="str">
        <x:v>idx-xbrl</x:v>
      </x:c>
      <x:c r="I34" s="6" t="str">
        <x:v>issuer:BMRI</x:v>
      </x:c>
      <x:c r="J34" s="6" t="str">
        <x:v>primary</x:v>
      </x:c>
      <x:c r="K34" s="11" t="str">
        <x:v>https://www.idx.id/Portals/0/StaticData/ListedCompanies/Corporate_Actions/New_Info_JSX/Jenis_Informasi/01_Laporan_Keuangan/02_Soft_Copy_Laporan_Keuangan//Laporan%20Keuangan%20Tahun%202025/Audit/BMRI/instance.zip</x:v>
      </x:c>
      <x:c r="L34" s="11" t="str">
        <x:v>TemporarySyirkahFunds / PriorEndYearInstant</x:v>
      </x:c>
      <x:c r="M34" s="6" t="str">
        <x:v>2026-02-20</x:v>
      </x:c>
      <x:c r="N34" s="6" t="d">
        <x:v>2026-10-24T16:17:20.353Z</x:v>
      </x:c>
    </x:row>
    <x:row r="35" ht="148" customHeight="1">
      <x:c r="A35" s="6" t="str">
        <x:v>interestIncome</x:v>
      </x:c>
      <x:c r="B35" s="2" t="n">
        <x:v>164412466000000</x:v>
      </x:c>
      <x:c r="C35" s="6" t="str">
        <x:v>IDR</x:v>
      </x:c>
      <x:c r="D35" s="6" t="str">
        <x:v>units</x:v>
      </x:c>
      <x:c r="E35" s="6" t="str">
        <x:v>2025-12-31</x:v>
      </x:c>
      <x:c r="F35" s="2" t="n">
        <x:v>365</x:v>
      </x:c>
      <x:c r="G35" s="6" t="str">
        <x:v>interestIncome</x:v>
      </x:c>
      <x:c r="H35" s="6" t="str">
        <x:v>idx-xbrl</x:v>
      </x:c>
      <x:c r="I35" s="6" t="str">
        <x:v>issuer:BMRI</x:v>
      </x:c>
      <x:c r="J35" s="6" t="str">
        <x:v>primary</x:v>
      </x:c>
      <x:c r="K35" s="11" t="str">
        <x:v>https://www.idx.id/Portals/0/StaticData/ListedCompanies/Corporate_Actions/New_Info_JSX/Jenis_Informasi/01_Laporan_Keuangan/02_Soft_Copy_Laporan_Keuangan//Laporan%20Keuangan%20Tahun%202025/Audit/BMRI/instance.zip</x:v>
      </x:c>
      <x:c r="L35" s="11" t="str">
        <x:v>InterestIncome / CurrentYearDuration</x:v>
      </x:c>
      <x:c r="M35" s="6" t="str">
        <x:v>2026-02-20</x:v>
      </x:c>
      <x:c r="N35" s="6" t="d">
        <x:v>2026-10-24T16:17:20.353Z</x:v>
      </x:c>
    </x:row>
    <x:row r="36" ht="148" customHeight="1">
      <x:c r="A36" s="6" t="str">
        <x:v>interestIncome</x:v>
      </x:c>
      <x:c r="B36" s="2" t="n">
        <x:v>151236027000000</x:v>
      </x:c>
      <x:c r="C36" s="6" t="str">
        <x:v>IDR</x:v>
      </x:c>
      <x:c r="D36" s="6" t="str">
        <x:v>units</x:v>
      </x:c>
      <x:c r="E36" s="6" t="str">
        <x:v>2024-12-31</x:v>
      </x:c>
      <x:c r="F36" s="2" t="n">
        <x:v>366</x:v>
      </x:c>
      <x:c r="G36" s="6" t="str">
        <x:v>interestIncome</x:v>
      </x:c>
      <x:c r="H36" s="6" t="str">
        <x:v>idx-xbrl</x:v>
      </x:c>
      <x:c r="I36" s="6" t="str">
        <x:v>issuer:BMRI</x:v>
      </x:c>
      <x:c r="J36" s="6" t="str">
        <x:v>primary</x:v>
      </x:c>
      <x:c r="K36" s="11" t="str">
        <x:v>https://www.idx.id/Portals/0/StaticData/ListedCompanies/Corporate_Actions/New_Info_JSX/Jenis_Informasi/01_Laporan_Keuangan/02_Soft_Copy_Laporan_Keuangan//Laporan%20Keuangan%20Tahun%202025/Audit/BMRI/instance.zip</x:v>
      </x:c>
      <x:c r="L36" s="11" t="str">
        <x:v>InterestIncome / PriorYearDuration</x:v>
      </x:c>
      <x:c r="M36" s="6" t="str">
        <x:v>2026-02-20</x:v>
      </x:c>
      <x:c r="N36" s="6" t="d">
        <x:v>2026-10-24T16:17:20.353Z</x:v>
      </x:c>
    </x:row>
    <x:row r="37" ht="148" customHeight="1">
      <x:c r="A37" s="6" t="str">
        <x:v>interestExpense</x:v>
      </x:c>
      <x:c r="B37" s="2" t="n">
        <x:v>58202431000000</x:v>
      </x:c>
      <x:c r="C37" s="6" t="str">
        <x:v>IDR</x:v>
      </x:c>
      <x:c r="D37" s="6" t="str">
        <x:v>units</x:v>
      </x:c>
      <x:c r="E37" s="6" t="str">
        <x:v>2025-12-31</x:v>
      </x:c>
      <x:c r="F37" s="2" t="n">
        <x:v>365</x:v>
      </x:c>
      <x:c r="G37" s="6" t="str">
        <x:v>interestExpense</x:v>
      </x:c>
      <x:c r="H37" s="6" t="str">
        <x:v>idx-xbrl</x:v>
      </x:c>
      <x:c r="I37" s="6" t="str">
        <x:v>issuer:BMRI</x:v>
      </x:c>
      <x:c r="J37" s="6" t="str">
        <x:v>primary</x:v>
      </x:c>
      <x:c r="K37" s="11" t="str">
        <x:v>https://www.idx.id/Portals/0/StaticData/ListedCompanies/Corporate_Actions/New_Info_JSX/Jenis_Informasi/01_Laporan_Keuangan/02_Soft_Copy_Laporan_Keuangan//Laporan%20Keuangan%20Tahun%202025/Audit/BMRI/instance.zip</x:v>
      </x:c>
      <x:c r="L37" s="11" t="str">
        <x:v>InterestExpenses / CurrentYearDuration</x:v>
      </x:c>
      <x:c r="M37" s="6" t="str">
        <x:v>2026-02-20</x:v>
      </x:c>
      <x:c r="N37" s="6" t="d">
        <x:v>2026-10-24T16:17:20.353Z</x:v>
      </x:c>
    </x:row>
    <x:row r="38" ht="148" customHeight="1">
      <x:c r="A38" s="6" t="str">
        <x:v>interestExpense</x:v>
      </x:c>
      <x:c r="B38" s="2" t="n">
        <x:v>49479107000000</x:v>
      </x:c>
      <x:c r="C38" s="6" t="str">
        <x:v>IDR</x:v>
      </x:c>
      <x:c r="D38" s="6" t="str">
        <x:v>units</x:v>
      </x:c>
      <x:c r="E38" s="6" t="str">
        <x:v>2024-12-31</x:v>
      </x:c>
      <x:c r="F38" s="2" t="n">
        <x:v>366</x:v>
      </x:c>
      <x:c r="G38" s="6" t="str">
        <x:v>interestExpense</x:v>
      </x:c>
      <x:c r="H38" s="6" t="str">
        <x:v>idx-xbrl</x:v>
      </x:c>
      <x:c r="I38" s="6" t="str">
        <x:v>issuer:BMRI</x:v>
      </x:c>
      <x:c r="J38" s="6" t="str">
        <x:v>primary</x:v>
      </x:c>
      <x:c r="K38" s="11" t="str">
        <x:v>https://www.idx.id/Portals/0/StaticData/ListedCompanies/Corporate_Actions/New_Info_JSX/Jenis_Informasi/01_Laporan_Keuangan/02_Soft_Copy_Laporan_Keuangan//Laporan%20Keuangan%20Tahun%202025/Audit/BMRI/instance.zip</x:v>
      </x:c>
      <x:c r="L38" s="11" t="str">
        <x:v>InterestExpenses / PriorYearDuration</x:v>
      </x:c>
      <x:c r="M38" s="6" t="str">
        <x:v>2026-02-20</x:v>
      </x:c>
      <x:c r="N38" s="6" t="d">
        <x:v>2026-10-24T16:17:20.353Z</x:v>
      </x:c>
    </x:row>
    <x:row r="39" ht="148" customHeight="1">
      <x:c r="A39" s="6" t="str">
        <x:v>pretaxProfit</x:v>
      </x:c>
      <x:c r="B39" s="2" t="n">
        <x:v>76417563000000</x:v>
      </x:c>
      <x:c r="C39" s="6" t="str">
        <x:v>IDR</x:v>
      </x:c>
      <x:c r="D39" s="6" t="str">
        <x:v>units</x:v>
      </x:c>
      <x:c r="E39" s="6" t="str">
        <x:v>2025-12-31</x:v>
      </x:c>
      <x:c r="F39" s="2" t="n">
        <x:v>365</x:v>
      </x:c>
      <x:c r="G39" s="6" t="str">
        <x:v>pretaxProfit</x:v>
      </x:c>
      <x:c r="H39" s="6" t="str">
        <x:v>idx-xbrl</x:v>
      </x:c>
      <x:c r="I39" s="6" t="str">
        <x:v>issuer:BMRI</x:v>
      </x:c>
      <x:c r="J39" s="6" t="str">
        <x:v>primary</x:v>
      </x:c>
      <x:c r="K39" s="11" t="str">
        <x:v>https://www.idx.id/Portals/0/StaticData/ListedCompanies/Corporate_Actions/New_Info_JSX/Jenis_Informasi/01_Laporan_Keuangan/02_Soft_Copy_Laporan_Keuangan//Laporan%20Keuangan%20Tahun%202025/Audit/BMRI/instance.zip</x:v>
      </x:c>
      <x:c r="L39" s="11" t="str">
        <x:v>ProfitLossBeforeIncomeTax / CurrentYearDuration</x:v>
      </x:c>
      <x:c r="M39" s="6" t="str">
        <x:v>2026-02-20</x:v>
      </x:c>
      <x:c r="N39" s="6" t="d">
        <x:v>2026-10-24T16:17:20.353Z</x:v>
      </x:c>
    </x:row>
    <x:row r="40" ht="148" customHeight="1">
      <x:c r="A40" s="6" t="str">
        <x:v>pretaxProfit</x:v>
      </x:c>
      <x:c r="B40" s="2" t="n">
        <x:v>76403486000000</x:v>
      </x:c>
      <x:c r="C40" s="6" t="str">
        <x:v>IDR</x:v>
      </x:c>
      <x:c r="D40" s="6" t="str">
        <x:v>units</x:v>
      </x:c>
      <x:c r="E40" s="6" t="str">
        <x:v>2024-12-31</x:v>
      </x:c>
      <x:c r="F40" s="2" t="n">
        <x:v>366</x:v>
      </x:c>
      <x:c r="G40" s="6" t="str">
        <x:v>pretaxProfit</x:v>
      </x:c>
      <x:c r="H40" s="6" t="str">
        <x:v>idx-xbrl</x:v>
      </x:c>
      <x:c r="I40" s="6" t="str">
        <x:v>issuer:BMRI</x:v>
      </x:c>
      <x:c r="J40" s="6" t="str">
        <x:v>primary</x:v>
      </x:c>
      <x:c r="K40" s="11" t="str">
        <x:v>https://www.idx.id/Portals/0/StaticData/ListedCompanies/Corporate_Actions/New_Info_JSX/Jenis_Informasi/01_Laporan_Keuangan/02_Soft_Copy_Laporan_Keuangan//Laporan%20Keuangan%20Tahun%202025/Audit/BMRI/instance.zip</x:v>
      </x:c>
      <x:c r="L40" s="11" t="str">
        <x:v>ProfitLossBeforeIncomeTax / PriorYearDuration</x:v>
      </x:c>
      <x:c r="M40" s="6" t="str">
        <x:v>2026-02-20</x:v>
      </x:c>
      <x:c r="N40" s="6" t="d">
        <x:v>2026-10-24T16:17:20.353Z</x:v>
      </x:c>
    </x:row>
    <x:row r="41" ht="135" customHeight="1">
      <x:c r="A41" s="6" t="str">
        <x:v>netIncome</x:v>
      </x:c>
      <x:c r="B41" s="2" t="n">
        <x:v>30412319000000</x:v>
      </x:c>
      <x:c r="C41" s="6" t="str">
        <x:v>IDR</x:v>
      </x:c>
      <x:c r="D41" s="6" t="str">
        <x:v>units</x:v>
      </x:c>
      <x:c r="E41" s="6" t="str">
        <x:v>2026-06-30</x:v>
      </x:c>
      <x:c r="F41" s="2" t="n">
        <x:v>181</x:v>
      </x:c>
      <x:c r="G41" s="6" t="str">
        <x:v>parent_profit</x:v>
      </x:c>
      <x:c r="H41" s="6" t="str">
        <x:v>idx-xbrl</x:v>
      </x:c>
      <x:c r="I41" s="6" t="str">
        <x:v>issuer:BMRI</x:v>
      </x:c>
      <x:c r="J41" s="6" t="str">
        <x:v>primary</x:v>
      </x:c>
      <x:c r="K41" s="11" t="str">
        <x:v>https://www.idx.id/Portals/0/StaticData/ListedCompanies/Corporate_Actions/New_Info_JSX/Jenis_Informasi/01_Laporan_Keuangan/02_Soft_Copy_Laporan_Keuangan//Laporan%20Keuangan%20Tahun%202026/TW2/BMRI/instance.zip</x:v>
      </x:c>
      <x:c r="L41" s="11" t="str">
        <x:v>ProfitLossAttributableToParentEntity / CurrentYearDuration</x:v>
      </x:c>
      <x:c r="M41" s="6" t="str">
        <x:v>2026-07-24</x:v>
      </x:c>
      <x:c r="N41" s="6" t="d">
        <x:v>2026-10-24T16:17:20.409Z</x:v>
      </x:c>
    </x:row>
    <x:row r="42" ht="135" customHeight="1">
      <x:c r="A42" s="6" t="str">
        <x:v>netIncome</x:v>
      </x:c>
      <x:c r="B42" s="2" t="n">
        <x:v>24455082000000</x:v>
      </x:c>
      <x:c r="C42" s="6" t="str">
        <x:v>IDR</x:v>
      </x:c>
      <x:c r="D42" s="6" t="str">
        <x:v>units</x:v>
      </x:c>
      <x:c r="E42" s="6" t="str">
        <x:v>2025-06-30</x:v>
      </x:c>
      <x:c r="F42" s="2" t="n">
        <x:v>181</x:v>
      </x:c>
      <x:c r="G42" s="6" t="str">
        <x:v>parent_profit</x:v>
      </x:c>
      <x:c r="H42" s="6" t="str">
        <x:v>idx-xbrl</x:v>
      </x:c>
      <x:c r="I42" s="6" t="str">
        <x:v>issuer:BMRI</x:v>
      </x:c>
      <x:c r="J42" s="6" t="str">
        <x:v>primary</x:v>
      </x:c>
      <x:c r="K42" s="11" t="str">
        <x:v>https://www.idx.id/Portals/0/StaticData/ListedCompanies/Corporate_Actions/New_Info_JSX/Jenis_Informasi/01_Laporan_Keuangan/02_Soft_Copy_Laporan_Keuangan//Laporan%20Keuangan%20Tahun%202026/TW2/BMRI/instance.zip</x:v>
      </x:c>
      <x:c r="L42" s="11" t="str">
        <x:v>ProfitLossAttributableToParentEntity / PriorYearDuration</x:v>
      </x:c>
      <x:c r="M42" s="6" t="str">
        <x:v>2026-07-24</x:v>
      </x:c>
      <x:c r="N42" s="6" t="d">
        <x:v>2026-10-24T16:17:20.409Z</x:v>
      </x:c>
    </x:row>
    <x:row r="43" ht="135" customHeight="1">
      <x:c r="A43" s="6" t="str">
        <x:v>bookEquity</x:v>
      </x:c>
      <x:c r="B43" s="2" t="n">
        <x:v>284593401000000</x:v>
      </x:c>
      <x:c r="C43" s="6" t="str">
        <x:v>IDR</x:v>
      </x:c>
      <x:c r="D43" s="6" t="str">
        <x:v>units</x:v>
      </x:c>
      <x:c r="E43" s="6" t="str">
        <x:v>2026-06-30</x:v>
      </x:c>
      <x:c r="F43" s="2" t="n">
        <x:v>0</x:v>
      </x:c>
      <x:c r="G43" s="6" t="str">
        <x:v>parent_equity</x:v>
      </x:c>
      <x:c r="H43" s="6" t="str">
        <x:v>idx-xbrl</x:v>
      </x:c>
      <x:c r="I43" s="6" t="str">
        <x:v>issuer:BMRI</x:v>
      </x:c>
      <x:c r="J43" s="6" t="str">
        <x:v>primary</x:v>
      </x:c>
      <x:c r="K43" s="11" t="str">
        <x:v>https://www.idx.id/Portals/0/StaticData/ListedCompanies/Corporate_Actions/New_Info_JSX/Jenis_Informasi/01_Laporan_Keuangan/02_Soft_Copy_Laporan_Keuangan//Laporan%20Keuangan%20Tahun%202026/TW2/BMRI/instance.zip</x:v>
      </x:c>
      <x:c r="L43" s="11" t="str">
        <x:v>EquityAttributableToEquityOwnersOfParentEntity / CurrentYearInstant</x:v>
      </x:c>
      <x:c r="M43" s="6" t="str">
        <x:v>2026-07-24</x:v>
      </x:c>
      <x:c r="N43" s="6" t="d">
        <x:v>2026-10-24T16:17:20.409Z</x:v>
      </x:c>
    </x:row>
    <x:row r="44" ht="135" customHeight="1">
      <x:c r="A44" s="6" t="str">
        <x:v>bookEquity</x:v>
      </x:c>
      <x:c r="B44" s="2" t="n">
        <x:v>293750669000000</x:v>
      </x:c>
      <x:c r="C44" s="6" t="str">
        <x:v>IDR</x:v>
      </x:c>
      <x:c r="D44" s="6" t="str">
        <x:v>units</x:v>
      </x:c>
      <x:c r="E44" s="6" t="str">
        <x:v>2025-12-31</x:v>
      </x:c>
      <x:c r="F44" s="2" t="n">
        <x:v>0</x:v>
      </x:c>
      <x:c r="G44" s="6" t="str">
        <x:v>parent_equity</x:v>
      </x:c>
      <x:c r="H44" s="6" t="str">
        <x:v>idx-xbrl</x:v>
      </x:c>
      <x:c r="I44" s="6" t="str">
        <x:v>issuer:BMRI</x:v>
      </x:c>
      <x:c r="J44" s="6" t="str">
        <x:v>primary</x:v>
      </x:c>
      <x:c r="K44" s="11" t="str">
        <x:v>https://www.idx.id/Portals/0/StaticData/ListedCompanies/Corporate_Actions/New_Info_JSX/Jenis_Informasi/01_Laporan_Keuangan/02_Soft_Copy_Laporan_Keuangan//Laporan%20Keuangan%20Tahun%202026/TW2/BMRI/instance.zip</x:v>
      </x:c>
      <x:c r="L44" s="11" t="str">
        <x:v>EquityAttributableToEquityOwnersOfParentEntity / PriorEndYearInstant</x:v>
      </x:c>
      <x:c r="M44" s="6" t="str">
        <x:v>2026-07-24</x:v>
      </x:c>
      <x:c r="N44" s="6" t="d">
        <x:v>2026-10-24T16:17:20.409Z</x:v>
      </x:c>
    </x:row>
    <x:row r="45" ht="135" customHeight="1">
      <x:c r="A45" s="6" t="str">
        <x:v>assets</x:v>
      </x:c>
      <x:c r="B45" s="2" t="n">
        <x:v>2527568193000000</x:v>
      </x:c>
      <x:c r="C45" s="6" t="str">
        <x:v>IDR</x:v>
      </x:c>
      <x:c r="D45" s="6" t="str">
        <x:v>units</x:v>
      </x:c>
      <x:c r="E45" s="6" t="str">
        <x:v>2026-06-30</x:v>
      </x:c>
      <x:c r="F45" s="2" t="n">
        <x:v>0</x:v>
      </x:c>
      <x:c r="G45" s="6" t="str">
        <x:v>assets</x:v>
      </x:c>
      <x:c r="H45" s="6" t="str">
        <x:v>idx-xbrl</x:v>
      </x:c>
      <x:c r="I45" s="6" t="str">
        <x:v>issuer:BMRI</x:v>
      </x:c>
      <x:c r="J45" s="6" t="str">
        <x:v>primary</x:v>
      </x:c>
      <x:c r="K45" s="11" t="str">
        <x:v>https://www.idx.id/Portals/0/StaticData/ListedCompanies/Corporate_Actions/New_Info_JSX/Jenis_Informasi/01_Laporan_Keuangan/02_Soft_Copy_Laporan_Keuangan//Laporan%20Keuangan%20Tahun%202026/TW2/BMRI/instance.zip</x:v>
      </x:c>
      <x:c r="L45" s="6" t="str">
        <x:v>Assets / CurrentYearInstant</x:v>
      </x:c>
      <x:c r="M45" s="6" t="str">
        <x:v>2026-07-24</x:v>
      </x:c>
      <x:c r="N45" s="6" t="d">
        <x:v>2026-10-24T16:17:20.409Z</x:v>
      </x:c>
    </x:row>
    <x:row r="46" ht="135" customHeight="1">
      <x:c r="A46" s="6" t="str">
        <x:v>assets</x:v>
      </x:c>
      <x:c r="B46" s="2" t="n">
        <x:v>2829948026000000</x:v>
      </x:c>
      <x:c r="C46" s="6" t="str">
        <x:v>IDR</x:v>
      </x:c>
      <x:c r="D46" s="6" t="str">
        <x:v>units</x:v>
      </x:c>
      <x:c r="E46" s="6" t="str">
        <x:v>2025-12-31</x:v>
      </x:c>
      <x:c r="F46" s="2" t="n">
        <x:v>0</x:v>
      </x:c>
      <x:c r="G46" s="6" t="str">
        <x:v>assets</x:v>
      </x:c>
      <x:c r="H46" s="6" t="str">
        <x:v>idx-xbrl</x:v>
      </x:c>
      <x:c r="I46" s="6" t="str">
        <x:v>issuer:BMRI</x:v>
      </x:c>
      <x:c r="J46" s="6" t="str">
        <x:v>primary</x:v>
      </x:c>
      <x:c r="K46" s="11" t="str">
        <x:v>https://www.idx.id/Portals/0/StaticData/ListedCompanies/Corporate_Actions/New_Info_JSX/Jenis_Informasi/01_Laporan_Keuangan/02_Soft_Copy_Laporan_Keuangan//Laporan%20Keuangan%20Tahun%202026/TW2/BMRI/instance.zip</x:v>
      </x:c>
      <x:c r="L46" s="6" t="str">
        <x:v>Assets / PriorEndYearInstant</x:v>
      </x:c>
      <x:c r="M46" s="6" t="str">
        <x:v>2026-07-24</x:v>
      </x:c>
      <x:c r="N46" s="6" t="d">
        <x:v>2026-10-24T16:17:20.409Z</x:v>
      </x:c>
    </x:row>
    <x:row r="47" ht="135" customHeight="1">
      <x:c r="A47" s="6" t="str">
        <x:v>liabilities</x:v>
      </x:c>
      <x:c r="B47" s="2" t="n">
        <x:v>2234544953000000</x:v>
      </x:c>
      <x:c r="C47" s="6" t="str">
        <x:v>IDR</x:v>
      </x:c>
      <x:c r="D47" s="6" t="str">
        <x:v>units</x:v>
      </x:c>
      <x:c r="E47" s="6" t="str">
        <x:v>2026-06-30</x:v>
      </x:c>
      <x:c r="F47" s="2" t="n">
        <x:v>0</x:v>
      </x:c>
      <x:c r="G47" s="6" t="str">
        <x:v>liabilities</x:v>
      </x:c>
      <x:c r="H47" s="6" t="str">
        <x:v>idx-xbrl</x:v>
      </x:c>
      <x:c r="I47" s="6" t="str">
        <x:v>issuer:BMRI</x:v>
      </x:c>
      <x:c r="J47" s="6" t="str">
        <x:v>primary</x:v>
      </x:c>
      <x:c r="K47" s="11" t="str">
        <x:v>https://www.idx.id/Portals/0/StaticData/ListedCompanies/Corporate_Actions/New_Info_JSX/Jenis_Informasi/01_Laporan_Keuangan/02_Soft_Copy_Laporan_Keuangan//Laporan%20Keuangan%20Tahun%202026/TW2/BMRI/instance.zip</x:v>
      </x:c>
      <x:c r="L47" s="11" t="str">
        <x:v>Liabilities / CurrentYearInstant</x:v>
      </x:c>
      <x:c r="M47" s="6" t="str">
        <x:v>2026-07-24</x:v>
      </x:c>
      <x:c r="N47" s="6" t="d">
        <x:v>2026-10-24T16:17:20.409Z</x:v>
      </x:c>
    </x:row>
    <x:row r="48" ht="135" customHeight="1">
      <x:c r="A48" s="6" t="str">
        <x:v>liabilities</x:v>
      </x:c>
      <x:c r="B48" s="2" t="n">
        <x:v>2212925204000000</x:v>
      </x:c>
      <x:c r="C48" s="6" t="str">
        <x:v>IDR</x:v>
      </x:c>
      <x:c r="D48" s="6" t="str">
        <x:v>units</x:v>
      </x:c>
      <x:c r="E48" s="6" t="str">
        <x:v>2025-12-31</x:v>
      </x:c>
      <x:c r="F48" s="2" t="n">
        <x:v>0</x:v>
      </x:c>
      <x:c r="G48" s="6" t="str">
        <x:v>liabilities</x:v>
      </x:c>
      <x:c r="H48" s="6" t="str">
        <x:v>idx-xbrl</x:v>
      </x:c>
      <x:c r="I48" s="6" t="str">
        <x:v>issuer:BMRI</x:v>
      </x:c>
      <x:c r="J48" s="6" t="str">
        <x:v>primary</x:v>
      </x:c>
      <x:c r="K48" s="11" t="str">
        <x:v>https://www.idx.id/Portals/0/StaticData/ListedCompanies/Corporate_Actions/New_Info_JSX/Jenis_Informasi/01_Laporan_Keuangan/02_Soft_Copy_Laporan_Keuangan//Laporan%20Keuangan%20Tahun%202026/TW2/BMRI/instance.zip</x:v>
      </x:c>
      <x:c r="L48" s="11" t="str">
        <x:v>Liabilities / PriorEndYearInstant</x:v>
      </x:c>
      <x:c r="M48" s="6" t="str">
        <x:v>2026-07-24</x:v>
      </x:c>
      <x:c r="N48" s="6" t="d">
        <x:v>2026-10-24T16:17:20.409Z</x:v>
      </x:c>
    </x:row>
    <x:row r="49" ht="135" customHeight="1">
      <x:c r="A49" s="6" t="str">
        <x:v>totalEquity</x:v>
      </x:c>
      <x:c r="B49" s="2" t="n">
        <x:v>293023240000000</x:v>
      </x:c>
      <x:c r="C49" s="6" t="str">
        <x:v>IDR</x:v>
      </x:c>
      <x:c r="D49" s="6" t="str">
        <x:v>units</x:v>
      </x:c>
      <x:c r="E49" s="6" t="str">
        <x:v>2026-06-30</x:v>
      </x:c>
      <x:c r="F49" s="2" t="n">
        <x:v>0</x:v>
      </x:c>
      <x:c r="G49" s="6" t="str">
        <x:v>totalEquity</x:v>
      </x:c>
      <x:c r="H49" s="6" t="str">
        <x:v>idx-xbrl</x:v>
      </x:c>
      <x:c r="I49" s="6" t="str">
        <x:v>issuer:BMRI</x:v>
      </x:c>
      <x:c r="J49" s="6" t="str">
        <x:v>primary</x:v>
      </x:c>
      <x:c r="K49" s="11" t="str">
        <x:v>https://www.idx.id/Portals/0/StaticData/ListedCompanies/Corporate_Actions/New_Info_JSX/Jenis_Informasi/01_Laporan_Keuangan/02_Soft_Copy_Laporan_Keuangan//Laporan%20Keuangan%20Tahun%202026/TW2/BMRI/instance.zip</x:v>
      </x:c>
      <x:c r="L49" s="6" t="str">
        <x:v>Equity / CurrentYearInstant</x:v>
      </x:c>
      <x:c r="M49" s="6" t="str">
        <x:v>2026-07-24</x:v>
      </x:c>
      <x:c r="N49" s="6" t="d">
        <x:v>2026-10-24T16:17:20.409Z</x:v>
      </x:c>
    </x:row>
    <x:row r="50" ht="135" customHeight="1">
      <x:c r="A50" s="6" t="str">
        <x:v>totalEquity</x:v>
      </x:c>
      <x:c r="B50" s="2" t="n">
        <x:v>327401998000000</x:v>
      </x:c>
      <x:c r="C50" s="6" t="str">
        <x:v>IDR</x:v>
      </x:c>
      <x:c r="D50" s="6" t="str">
        <x:v>units</x:v>
      </x:c>
      <x:c r="E50" s="6" t="str">
        <x:v>2025-12-31</x:v>
      </x:c>
      <x:c r="F50" s="2" t="n">
        <x:v>0</x:v>
      </x:c>
      <x:c r="G50" s="6" t="str">
        <x:v>totalEquity</x:v>
      </x:c>
      <x:c r="H50" s="6" t="str">
        <x:v>idx-xbrl</x:v>
      </x:c>
      <x:c r="I50" s="6" t="str">
        <x:v>issuer:BMRI</x:v>
      </x:c>
      <x:c r="J50" s="6" t="str">
        <x:v>primary</x:v>
      </x:c>
      <x:c r="K50" s="11" t="str">
        <x:v>https://www.idx.id/Portals/0/StaticData/ListedCompanies/Corporate_Actions/New_Info_JSX/Jenis_Informasi/01_Laporan_Keuangan/02_Soft_Copy_Laporan_Keuangan//Laporan%20Keuangan%20Tahun%202026/TW2/BMRI/instance.zip</x:v>
      </x:c>
      <x:c r="L50" s="6" t="str">
        <x:v>Equity / PriorEndYearInstant</x:v>
      </x:c>
      <x:c r="M50" s="6" t="str">
        <x:v>2026-07-24</x:v>
      </x:c>
      <x:c r="N50" s="6" t="d">
        <x:v>2026-10-24T16:17:20.409Z</x:v>
      </x:c>
    </x:row>
    <x:row r="51" ht="135" customHeight="1">
      <x:c r="A51" s="6" t="str">
        <x:v>minority</x:v>
      </x:c>
      <x:c r="B51" s="2" t="n">
        <x:v>8429839000000</x:v>
      </x:c>
      <x:c r="C51" s="6" t="str">
        <x:v>IDR</x:v>
      </x:c>
      <x:c r="D51" s="6" t="str">
        <x:v>units</x:v>
      </x:c>
      <x:c r="E51" s="6" t="str">
        <x:v>2026-06-30</x:v>
      </x:c>
      <x:c r="F51" s="2" t="n">
        <x:v>0</x:v>
      </x:c>
      <x:c r="G51" s="6" t="str">
        <x:v>minority</x:v>
      </x:c>
      <x:c r="H51" s="6" t="str">
        <x:v>idx-xbrl</x:v>
      </x:c>
      <x:c r="I51" s="6" t="str">
        <x:v>issuer:BMRI</x:v>
      </x:c>
      <x:c r="J51" s="6" t="str">
        <x:v>primary</x:v>
      </x:c>
      <x:c r="K51" s="11" t="str">
        <x:v>https://www.idx.id/Portals/0/StaticData/ListedCompanies/Corporate_Actions/New_Info_JSX/Jenis_Informasi/01_Laporan_Keuangan/02_Soft_Copy_Laporan_Keuangan//Laporan%20Keuangan%20Tahun%202026/TW2/BMRI/instance.zip</x:v>
      </x:c>
      <x:c r="L51" s="11" t="str">
        <x:v>NonControllingInterests / CurrentYearInstant</x:v>
      </x:c>
      <x:c r="M51" s="6" t="str">
        <x:v>2026-07-24</x:v>
      </x:c>
      <x:c r="N51" s="6" t="d">
        <x:v>2026-10-24T16:17:20.409Z</x:v>
      </x:c>
    </x:row>
    <x:row r="52" ht="135" customHeight="1">
      <x:c r="A52" s="6" t="str">
        <x:v>minority</x:v>
      </x:c>
      <x:c r="B52" s="2" t="n">
        <x:v>33651329000000</x:v>
      </x:c>
      <x:c r="C52" s="6" t="str">
        <x:v>IDR</x:v>
      </x:c>
      <x:c r="D52" s="6" t="str">
        <x:v>units</x:v>
      </x:c>
      <x:c r="E52" s="6" t="str">
        <x:v>2025-12-31</x:v>
      </x:c>
      <x:c r="F52" s="2" t="n">
        <x:v>0</x:v>
      </x:c>
      <x:c r="G52" s="6" t="str">
        <x:v>minority</x:v>
      </x:c>
      <x:c r="H52" s="6" t="str">
        <x:v>idx-xbrl</x:v>
      </x:c>
      <x:c r="I52" s="6" t="str">
        <x:v>issuer:BMRI</x:v>
      </x:c>
      <x:c r="J52" s="6" t="str">
        <x:v>primary</x:v>
      </x:c>
      <x:c r="K52" s="11" t="str">
        <x:v>https://www.idx.id/Portals/0/StaticData/ListedCompanies/Corporate_Actions/New_Info_JSX/Jenis_Informasi/01_Laporan_Keuangan/02_Soft_Copy_Laporan_Keuangan//Laporan%20Keuangan%20Tahun%202026/TW2/BMRI/instance.zip</x:v>
      </x:c>
      <x:c r="L52" s="11" t="str">
        <x:v>NonControllingInterests / PriorEndYearInstant</x:v>
      </x:c>
      <x:c r="M52" s="6" t="str">
        <x:v>2026-07-24</x:v>
      </x:c>
      <x:c r="N52" s="6" t="d">
        <x:v>2026-10-24T16:17:20.409Z</x:v>
      </x:c>
    </x:row>
    <x:row r="53" ht="135" customHeight="1">
      <x:c r="A53" s="6" t="str">
        <x:v>ocf</x:v>
      </x:c>
      <x:c r="B53" s="2" t="n">
        <x:v>-51810849000000</x:v>
      </x:c>
      <x:c r="C53" s="6" t="str">
        <x:v>IDR</x:v>
      </x:c>
      <x:c r="D53" s="6" t="str">
        <x:v>units</x:v>
      </x:c>
      <x:c r="E53" s="6" t="str">
        <x:v>2026-06-30</x:v>
      </x:c>
      <x:c r="F53" s="2" t="n">
        <x:v>181</x:v>
      </x:c>
      <x:c r="G53" s="6" t="str">
        <x:v>ocf</x:v>
      </x:c>
      <x:c r="H53" s="6" t="str">
        <x:v>idx-xbrl</x:v>
      </x:c>
      <x:c r="I53" s="6" t="str">
        <x:v>issuer:BMRI</x:v>
      </x:c>
      <x:c r="J53" s="6" t="str">
        <x:v>primary</x:v>
      </x:c>
      <x:c r="K53" s="11" t="str">
        <x:v>https://www.idx.id/Portals/0/StaticData/ListedCompanies/Corporate_Actions/New_Info_JSX/Jenis_Informasi/01_Laporan_Keuangan/02_Soft_Copy_Laporan_Keuangan//Laporan%20Keuangan%20Tahun%202026/TW2/BMRI/instance.zip</x:v>
      </x:c>
      <x:c r="L53" s="11" t="str">
        <x:v>NetCashFlowsReceivedFromUsedInOperatingActivities / CurrentYearDuration</x:v>
      </x:c>
      <x:c r="M53" s="6" t="str">
        <x:v>2026-07-24</x:v>
      </x:c>
      <x:c r="N53" s="6" t="d">
        <x:v>2026-10-24T16:17:20.409Z</x:v>
      </x:c>
    </x:row>
    <x:row r="54" ht="135" customHeight="1">
      <x:c r="A54" s="6" t="str">
        <x:v>ocf</x:v>
      </x:c>
      <x:c r="B54" s="2" t="n">
        <x:v>59167278000000</x:v>
      </x:c>
      <x:c r="C54" s="6" t="str">
        <x:v>IDR</x:v>
      </x:c>
      <x:c r="D54" s="6" t="str">
        <x:v>units</x:v>
      </x:c>
      <x:c r="E54" s="6" t="str">
        <x:v>2025-06-30</x:v>
      </x:c>
      <x:c r="F54" s="2" t="n">
        <x:v>181</x:v>
      </x:c>
      <x:c r="G54" s="6" t="str">
        <x:v>ocf</x:v>
      </x:c>
      <x:c r="H54" s="6" t="str">
        <x:v>idx-xbrl</x:v>
      </x:c>
      <x:c r="I54" s="6" t="str">
        <x:v>issuer:BMRI</x:v>
      </x:c>
      <x:c r="J54" s="6" t="str">
        <x:v>primary</x:v>
      </x:c>
      <x:c r="K54" s="11" t="str">
        <x:v>https://www.idx.id/Portals/0/StaticData/ListedCompanies/Corporate_Actions/New_Info_JSX/Jenis_Informasi/01_Laporan_Keuangan/02_Soft_Copy_Laporan_Keuangan//Laporan%20Keuangan%20Tahun%202026/TW2/BMRI/instance.zip</x:v>
      </x:c>
      <x:c r="L54" s="11" t="str">
        <x:v>NetCashFlowsReceivedFromUsedInOperatingActivities / PriorYearDuration</x:v>
      </x:c>
      <x:c r="M54" s="6" t="str">
        <x:v>2026-07-24</x:v>
      </x:c>
      <x:c r="N54" s="6" t="d">
        <x:v>2026-10-24T16:17:20.409Z</x:v>
      </x:c>
    </x:row>
    <x:row r="55" ht="135" customHeight="1">
      <x:c r="A55" s="6" t="str">
        <x:v>ebit</x:v>
      </x:c>
      <x:c r="B55" s="2" t="n">
        <x:v>39062791000000</x:v>
      </x:c>
      <x:c r="C55" s="6" t="str">
        <x:v>IDR</x:v>
      </x:c>
      <x:c r="D55" s="6" t="str">
        <x:v>units</x:v>
      </x:c>
      <x:c r="E55" s="6" t="str">
        <x:v>2026-06-30</x:v>
      </x:c>
      <x:c r="F55" s="2" t="n">
        <x:v>181</x:v>
      </x:c>
      <x:c r="G55" s="6" t="str">
        <x:v>ebit</x:v>
      </x:c>
      <x:c r="H55" s="6" t="str">
        <x:v>idx-xbrl</x:v>
      </x:c>
      <x:c r="I55" s="6" t="str">
        <x:v>issuer:BMRI</x:v>
      </x:c>
      <x:c r="J55" s="6" t="str">
        <x:v>primary</x:v>
      </x:c>
      <x:c r="K55" s="11" t="str">
        <x:v>https://www.idx.id/Portals/0/StaticData/ListedCompanies/Corporate_Actions/New_Info_JSX/Jenis_Informasi/01_Laporan_Keuangan/02_Soft_Copy_Laporan_Keuangan//Laporan%20Keuangan%20Tahun%202026/TW2/BMRI/instance.zip</x:v>
      </x:c>
      <x:c r="L55" s="11" t="str">
        <x:v>ProfitFromOperation / CurrentYearDuration</x:v>
      </x:c>
      <x:c r="M55" s="6" t="str">
        <x:v>2026-07-24</x:v>
      </x:c>
      <x:c r="N55" s="6" t="d">
        <x:v>2026-10-24T16:17:20.409Z</x:v>
      </x:c>
    </x:row>
    <x:row r="56" ht="135" customHeight="1">
      <x:c r="A56" s="6" t="str">
        <x:v>ebit</x:v>
      </x:c>
      <x:c r="B56" s="2" t="n">
        <x:v>33442833000000</x:v>
      </x:c>
      <x:c r="C56" s="6" t="str">
        <x:v>IDR</x:v>
      </x:c>
      <x:c r="D56" s="6" t="str">
        <x:v>units</x:v>
      </x:c>
      <x:c r="E56" s="6" t="str">
        <x:v>2025-06-30</x:v>
      </x:c>
      <x:c r="F56" s="2" t="n">
        <x:v>181</x:v>
      </x:c>
      <x:c r="G56" s="6" t="str">
        <x:v>ebit</x:v>
      </x:c>
      <x:c r="H56" s="6" t="str">
        <x:v>idx-xbrl</x:v>
      </x:c>
      <x:c r="I56" s="6" t="str">
        <x:v>issuer:BMRI</x:v>
      </x:c>
      <x:c r="J56" s="6" t="str">
        <x:v>primary</x:v>
      </x:c>
      <x:c r="K56" s="11" t="str">
        <x:v>https://www.idx.id/Portals/0/StaticData/ListedCompanies/Corporate_Actions/New_Info_JSX/Jenis_Informasi/01_Laporan_Keuangan/02_Soft_Copy_Laporan_Keuangan//Laporan%20Keuangan%20Tahun%202026/TW2/BMRI/instance.zip</x:v>
      </x:c>
      <x:c r="L56" s="11" t="str">
        <x:v>ProfitFromOperation / PriorYearDuration</x:v>
      </x:c>
      <x:c r="M56" s="6" t="str">
        <x:v>2026-07-24</x:v>
      </x:c>
      <x:c r="N56" s="6" t="d">
        <x:v>2026-10-24T16:17:20.409Z</x:v>
      </x:c>
    </x:row>
    <x:row r="57" ht="135" customHeight="1">
      <x:c r="A57" s="6" t="str">
        <x:v>temporarySyirkah</x:v>
      </x:c>
      <x:c r="B57" s="2" t="n">
        <x:v>0</x:v>
      </x:c>
      <x:c r="C57" s="6" t="str">
        <x:v>IDR</x:v>
      </x:c>
      <x:c r="D57" s="6" t="str">
        <x:v>units</x:v>
      </x:c>
      <x:c r="E57" s="6" t="str">
        <x:v>2026-06-30</x:v>
      </x:c>
      <x:c r="F57" s="2" t="n">
        <x:v>0</x:v>
      </x:c>
      <x:c r="G57" s="6" t="str">
        <x:v>temporarySyirkah</x:v>
      </x:c>
      <x:c r="H57" s="6" t="str">
        <x:v>idx-xbrl</x:v>
      </x:c>
      <x:c r="I57" s="6" t="str">
        <x:v>issuer:BMRI</x:v>
      </x:c>
      <x:c r="J57" s="6" t="str">
        <x:v>primary</x:v>
      </x:c>
      <x:c r="K57" s="11" t="str">
        <x:v>https://www.idx.id/Portals/0/StaticData/ListedCompanies/Corporate_Actions/New_Info_JSX/Jenis_Informasi/01_Laporan_Keuangan/02_Soft_Copy_Laporan_Keuangan//Laporan%20Keuangan%20Tahun%202026/TW2/BMRI/instance.zip</x:v>
      </x:c>
      <x:c r="L57" s="11" t="str">
        <x:v>TemporarySyirkahFunds / CurrentYearInstant</x:v>
      </x:c>
      <x:c r="M57" s="6" t="str">
        <x:v>2026-07-24</x:v>
      </x:c>
      <x:c r="N57" s="6" t="d">
        <x:v>2026-10-24T16:17:20.409Z</x:v>
      </x:c>
    </x:row>
    <x:row r="58" ht="135" customHeight="1">
      <x:c r="A58" s="6" t="str">
        <x:v>temporarySyirkah</x:v>
      </x:c>
      <x:c r="B58" s="2" t="n">
        <x:v>289620824000000</x:v>
      </x:c>
      <x:c r="C58" s="6" t="str">
        <x:v>IDR</x:v>
      </x:c>
      <x:c r="D58" s="6" t="str">
        <x:v>units</x:v>
      </x:c>
      <x:c r="E58" s="6" t="str">
        <x:v>2025-12-31</x:v>
      </x:c>
      <x:c r="F58" s="2" t="n">
        <x:v>0</x:v>
      </x:c>
      <x:c r="G58" s="6" t="str">
        <x:v>temporarySyirkah</x:v>
      </x:c>
      <x:c r="H58" s="6" t="str">
        <x:v>idx-xbrl</x:v>
      </x:c>
      <x:c r="I58" s="6" t="str">
        <x:v>issuer:BMRI</x:v>
      </x:c>
      <x:c r="J58" s="6" t="str">
        <x:v>primary</x:v>
      </x:c>
      <x:c r="K58" s="11" t="str">
        <x:v>https://www.idx.id/Portals/0/StaticData/ListedCompanies/Corporate_Actions/New_Info_JSX/Jenis_Informasi/01_Laporan_Keuangan/02_Soft_Copy_Laporan_Keuangan//Laporan%20Keuangan%20Tahun%202026/TW2/BMRI/instance.zip</x:v>
      </x:c>
      <x:c r="L58" s="11" t="str">
        <x:v>TemporarySyirkahFunds / PriorEndYearInstant</x:v>
      </x:c>
      <x:c r="M58" s="6" t="str">
        <x:v>2026-07-24</x:v>
      </x:c>
      <x:c r="N58" s="6" t="d">
        <x:v>2026-10-24T16:17:20.409Z</x:v>
      </x:c>
    </x:row>
    <x:row r="59" ht="135" customHeight="1">
      <x:c r="A59" s="6" t="str">
        <x:v>interestIncome</x:v>
      </x:c>
      <x:c r="B59" s="2" t="n">
        <x:v>72895403000000</x:v>
      </x:c>
      <x:c r="C59" s="6" t="str">
        <x:v>IDR</x:v>
      </x:c>
      <x:c r="D59" s="6" t="str">
        <x:v>units</x:v>
      </x:c>
      <x:c r="E59" s="6" t="str">
        <x:v>2026-06-30</x:v>
      </x:c>
      <x:c r="F59" s="2" t="n">
        <x:v>181</x:v>
      </x:c>
      <x:c r="G59" s="6" t="str">
        <x:v>interestIncome</x:v>
      </x:c>
      <x:c r="H59" s="6" t="str">
        <x:v>idx-xbrl</x:v>
      </x:c>
      <x:c r="I59" s="6" t="str">
        <x:v>issuer:BMRI</x:v>
      </x:c>
      <x:c r="J59" s="6" t="str">
        <x:v>primary</x:v>
      </x:c>
      <x:c r="K59" s="11" t="str">
        <x:v>https://www.idx.id/Portals/0/StaticData/ListedCompanies/Corporate_Actions/New_Info_JSX/Jenis_Informasi/01_Laporan_Keuangan/02_Soft_Copy_Laporan_Keuangan//Laporan%20Keuangan%20Tahun%202026/TW2/BMRI/instance.zip</x:v>
      </x:c>
      <x:c r="L59" s="11" t="str">
        <x:v>InterestIncome / CurrentYearDuration</x:v>
      </x:c>
      <x:c r="M59" s="6" t="str">
        <x:v>2026-07-24</x:v>
      </x:c>
      <x:c r="N59" s="6" t="d">
        <x:v>2026-10-24T16:17:20.409Z</x:v>
      </x:c>
    </x:row>
    <x:row r="60" ht="135" customHeight="1">
      <x:c r="A60" s="6" t="str">
        <x:v>interestIncome</x:v>
      </x:c>
      <x:c r="B60" s="2" t="n">
        <x:v>81576343000000</x:v>
      </x:c>
      <x:c r="C60" s="6" t="str">
        <x:v>IDR</x:v>
      </x:c>
      <x:c r="D60" s="6" t="str">
        <x:v>units</x:v>
      </x:c>
      <x:c r="E60" s="6" t="str">
        <x:v>2025-06-30</x:v>
      </x:c>
      <x:c r="F60" s="2" t="n">
        <x:v>181</x:v>
      </x:c>
      <x:c r="G60" s="6" t="str">
        <x:v>interestIncome</x:v>
      </x:c>
      <x:c r="H60" s="6" t="str">
        <x:v>idx-xbrl</x:v>
      </x:c>
      <x:c r="I60" s="6" t="str">
        <x:v>issuer:BMRI</x:v>
      </x:c>
      <x:c r="J60" s="6" t="str">
        <x:v>primary</x:v>
      </x:c>
      <x:c r="K60" s="11" t="str">
        <x:v>https://www.idx.id/Portals/0/StaticData/ListedCompanies/Corporate_Actions/New_Info_JSX/Jenis_Informasi/01_Laporan_Keuangan/02_Soft_Copy_Laporan_Keuangan//Laporan%20Keuangan%20Tahun%202026/TW2/BMRI/instance.zip</x:v>
      </x:c>
      <x:c r="L60" s="11" t="str">
        <x:v>InterestIncome / PriorYearDuration</x:v>
      </x:c>
      <x:c r="M60" s="6" t="str">
        <x:v>2026-07-24</x:v>
      </x:c>
      <x:c r="N60" s="6" t="d">
        <x:v>2026-10-24T16:17:20.409Z</x:v>
      </x:c>
    </x:row>
    <x:row r="61" ht="135" customHeight="1">
      <x:c r="A61" s="6" t="str">
        <x:v>interestExpense</x:v>
      </x:c>
      <x:c r="B61" s="2" t="n">
        <x:v>25056230000000</x:v>
      </x:c>
      <x:c r="C61" s="6" t="str">
        <x:v>IDR</x:v>
      </x:c>
      <x:c r="D61" s="6" t="str">
        <x:v>units</x:v>
      </x:c>
      <x:c r="E61" s="6" t="str">
        <x:v>2026-06-30</x:v>
      </x:c>
      <x:c r="F61" s="2" t="n">
        <x:v>181</x:v>
      </x:c>
      <x:c r="G61" s="6" t="str">
        <x:v>interestExpense</x:v>
      </x:c>
      <x:c r="H61" s="6" t="str">
        <x:v>idx-xbrl</x:v>
      </x:c>
      <x:c r="I61" s="6" t="str">
        <x:v>issuer:BMRI</x:v>
      </x:c>
      <x:c r="J61" s="6" t="str">
        <x:v>primary</x:v>
      </x:c>
      <x:c r="K61" s="11" t="str">
        <x:v>https://www.idx.id/Portals/0/StaticData/ListedCompanies/Corporate_Actions/New_Info_JSX/Jenis_Informasi/01_Laporan_Keuangan/02_Soft_Copy_Laporan_Keuangan//Laporan%20Keuangan%20Tahun%202026/TW2/BMRI/instance.zip</x:v>
      </x:c>
      <x:c r="L61" s="11" t="str">
        <x:v>InterestExpenses / CurrentYearDuration</x:v>
      </x:c>
      <x:c r="M61" s="6" t="str">
        <x:v>2026-07-24</x:v>
      </x:c>
      <x:c r="N61" s="6" t="d">
        <x:v>2026-10-24T16:17:20.409Z</x:v>
      </x:c>
    </x:row>
    <x:row r="62" ht="135" customHeight="1">
      <x:c r="A62" s="6" t="str">
        <x:v>interestExpense</x:v>
      </x:c>
      <x:c r="B62" s="2" t="n">
        <x:v>29192706000000</x:v>
      </x:c>
      <x:c r="C62" s="6" t="str">
        <x:v>IDR</x:v>
      </x:c>
      <x:c r="D62" s="6" t="str">
        <x:v>units</x:v>
      </x:c>
      <x:c r="E62" s="6" t="str">
        <x:v>2025-06-30</x:v>
      </x:c>
      <x:c r="F62" s="2" t="n">
        <x:v>181</x:v>
      </x:c>
      <x:c r="G62" s="6" t="str">
        <x:v>interestExpense</x:v>
      </x:c>
      <x:c r="H62" s="6" t="str">
        <x:v>idx-xbrl</x:v>
      </x:c>
      <x:c r="I62" s="6" t="str">
        <x:v>issuer:BMRI</x:v>
      </x:c>
      <x:c r="J62" s="6" t="str">
        <x:v>primary</x:v>
      </x:c>
      <x:c r="K62" s="11" t="str">
        <x:v>https://www.idx.id/Portals/0/StaticData/ListedCompanies/Corporate_Actions/New_Info_JSX/Jenis_Informasi/01_Laporan_Keuangan/02_Soft_Copy_Laporan_Keuangan//Laporan%20Keuangan%20Tahun%202026/TW2/BMRI/instance.zip</x:v>
      </x:c>
      <x:c r="L62" s="11" t="str">
        <x:v>InterestExpenses / PriorYearDuration</x:v>
      </x:c>
      <x:c r="M62" s="6" t="str">
        <x:v>2026-07-24</x:v>
      </x:c>
      <x:c r="N62" s="6" t="d">
        <x:v>2026-10-24T16:17:20.409Z</x:v>
      </x:c>
    </x:row>
    <x:row r="63" ht="135" customHeight="1">
      <x:c r="A63" s="6" t="str">
        <x:v>pretaxProfit</x:v>
      </x:c>
      <x:c r="B63" s="2" t="n">
        <x:v>39041168000000</x:v>
      </x:c>
      <x:c r="C63" s="6" t="str">
        <x:v>IDR</x:v>
      </x:c>
      <x:c r="D63" s="6" t="str">
        <x:v>units</x:v>
      </x:c>
      <x:c r="E63" s="6" t="str">
        <x:v>2026-06-30</x:v>
      </x:c>
      <x:c r="F63" s="2" t="n">
        <x:v>181</x:v>
      </x:c>
      <x:c r="G63" s="6" t="str">
        <x:v>pretaxProfit</x:v>
      </x:c>
      <x:c r="H63" s="6" t="str">
        <x:v>idx-xbrl</x:v>
      </x:c>
      <x:c r="I63" s="6" t="str">
        <x:v>issuer:BMRI</x:v>
      </x:c>
      <x:c r="J63" s="6" t="str">
        <x:v>primary</x:v>
      </x:c>
      <x:c r="K63" s="11" t="str">
        <x:v>https://www.idx.id/Portals/0/StaticData/ListedCompanies/Corporate_Actions/New_Info_JSX/Jenis_Informasi/01_Laporan_Keuangan/02_Soft_Copy_Laporan_Keuangan//Laporan%20Keuangan%20Tahun%202026/TW2/BMRI/instance.zip</x:v>
      </x:c>
      <x:c r="L63" s="11" t="str">
        <x:v>ProfitLossBeforeIncomeTax / CurrentYearDuration</x:v>
      </x:c>
      <x:c r="M63" s="6" t="str">
        <x:v>2026-07-24</x:v>
      </x:c>
      <x:c r="N63" s="6" t="d">
        <x:v>2026-10-24T16:17:20.409Z</x:v>
      </x:c>
    </x:row>
    <x:row r="64" ht="135" customHeight="1">
      <x:c r="A64" s="6" t="str">
        <x:v>pretaxProfit</x:v>
      </x:c>
      <x:c r="B64" s="2" t="n">
        <x:v>33523373000000</x:v>
      </x:c>
      <x:c r="C64" s="6" t="str">
        <x:v>IDR</x:v>
      </x:c>
      <x:c r="D64" s="6" t="str">
        <x:v>units</x:v>
      </x:c>
      <x:c r="E64" s="6" t="str">
        <x:v>2025-06-30</x:v>
      </x:c>
      <x:c r="F64" s="2" t="n">
        <x:v>181</x:v>
      </x:c>
      <x:c r="G64" s="6" t="str">
        <x:v>pretaxProfit</x:v>
      </x:c>
      <x:c r="H64" s="6" t="str">
        <x:v>idx-xbrl</x:v>
      </x:c>
      <x:c r="I64" s="6" t="str">
        <x:v>issuer:BMRI</x:v>
      </x:c>
      <x:c r="J64" s="6" t="str">
        <x:v>primary</x:v>
      </x:c>
      <x:c r="K64" s="11" t="str">
        <x:v>https://www.idx.id/Portals/0/StaticData/ListedCompanies/Corporate_Actions/New_Info_JSX/Jenis_Informasi/01_Laporan_Keuangan/02_Soft_Copy_Laporan_Keuangan//Laporan%20Keuangan%20Tahun%202026/TW2/BMRI/instance.zip</x:v>
      </x:c>
      <x:c r="L64" s="11" t="str">
        <x:v>ProfitLossBeforeIncomeTax / PriorYearDuration</x:v>
      </x:c>
      <x:c r="M64" s="6" t="str">
        <x:v>2026-07-24</x:v>
      </x:c>
      <x:c r="N64" s="6" t="d">
        <x:v>2026-10-24T16:17:20.409Z</x:v>
      </x:c>
    </x:row>
    <x:row r="65" ht="148" customHeight="1">
      <x:c r="A65" s="6" t="str">
        <x:v>netInterestIncome</x:v>
      </x:c>
      <x:c r="B65" s="2" t="n">
        <x:v>106210035000000</x:v>
      </x:c>
      <x:c r="C65" s="6" t="str">
        <x:v>IDR</x:v>
      </x:c>
      <x:c r="D65" s="6" t="str">
        <x:v>units</x:v>
      </x:c>
      <x:c r="E65" s="6" t="str">
        <x:v>2025-12-31</x:v>
      </x:c>
      <x:c r="F65" s="2" t="n">
        <x:v>365</x:v>
      </x:c>
      <x:c r="G65" s="6" t="str">
        <x:v>netInterestIncome</x:v>
      </x:c>
      <x:c r="H65" s="6" t="str">
        <x:v>idx-xbrl</x:v>
      </x:c>
      <x:c r="I65" s="6" t="str">
        <x:v>issuer:BMRI</x:v>
      </x:c>
      <x:c r="J65" s="6" t="str">
        <x:v>primary</x:v>
      </x:c>
      <x:c r="K65" s="11" t="str">
        <x:v>https://www.idx.id/Portals/0/StaticData/ListedCompanies/Corporate_Actions/New_Info_JSX/Jenis_Informasi/01_Laporan_Keuangan/02_Soft_Copy_Laporan_Keuangan//Laporan%20Keuangan%20Tahun%202025/Audit/BMRI/instance.zip</x:v>
      </x:c>
      <x:c r="L65" s="11" t="str">
        <x:v>Reported interest income less reported interest expense</x:v>
      </x:c>
      <x:c r="M65" s="6" t="str">
        <x:v>2026-02-20</x:v>
      </x:c>
      <x:c r="N65" s="6" t="d">
        <x:v>2026-10-24T16:17:20.353Z</x:v>
      </x:c>
    </x:row>
    <x:row r="66" ht="148" customHeight="1">
      <x:c r="A66" s="6" t="str">
        <x:v>netInterestIncome</x:v>
      </x:c>
      <x:c r="B66" s="2" t="n">
        <x:v>101756920000000</x:v>
      </x:c>
      <x:c r="C66" s="6" t="str">
        <x:v>IDR</x:v>
      </x:c>
      <x:c r="D66" s="6" t="str">
        <x:v>units</x:v>
      </x:c>
      <x:c r="E66" s="6" t="str">
        <x:v>2024-12-31</x:v>
      </x:c>
      <x:c r="F66" s="2" t="n">
        <x:v>366</x:v>
      </x:c>
      <x:c r="G66" s="6" t="str">
        <x:v>netInterestIncome</x:v>
      </x:c>
      <x:c r="H66" s="6" t="str">
        <x:v>idx-xbrl</x:v>
      </x:c>
      <x:c r="I66" s="6" t="str">
        <x:v>issuer:BMRI</x:v>
      </x:c>
      <x:c r="J66" s="6" t="str">
        <x:v>primary</x:v>
      </x:c>
      <x:c r="K66" s="11" t="str">
        <x:v>https://www.idx.id/Portals/0/StaticData/ListedCompanies/Corporate_Actions/New_Info_JSX/Jenis_Informasi/01_Laporan_Keuangan/02_Soft_Copy_Laporan_Keuangan//Laporan%20Keuangan%20Tahun%202025/Audit/BMRI/instance.zip</x:v>
      </x:c>
      <x:c r="L66" s="11" t="str">
        <x:v>Reported interest income less reported interest expense</x:v>
      </x:c>
      <x:c r="M66" s="6" t="str">
        <x:v>2026-02-20</x:v>
      </x:c>
      <x:c r="N66" s="6" t="d">
        <x:v>2026-10-24T16:17:20.353Z</x:v>
      </x:c>
    </x:row>
    <x:row r="67" ht="135" customHeight="1">
      <x:c r="A67" s="6" t="str">
        <x:v>netInterestIncome</x:v>
      </x:c>
      <x:c r="B67" s="2" t="n">
        <x:v>47839173000000</x:v>
      </x:c>
      <x:c r="C67" s="6" t="str">
        <x:v>IDR</x:v>
      </x:c>
      <x:c r="D67" s="6" t="str">
        <x:v>units</x:v>
      </x:c>
      <x:c r="E67" s="6" t="str">
        <x:v>2026-06-30</x:v>
      </x:c>
      <x:c r="F67" s="2" t="n">
        <x:v>181</x:v>
      </x:c>
      <x:c r="G67" s="6" t="str">
        <x:v>netInterestIncome</x:v>
      </x:c>
      <x:c r="H67" s="6" t="str">
        <x:v>idx-xbrl</x:v>
      </x:c>
      <x:c r="I67" s="6" t="str">
        <x:v>issuer:BMRI</x:v>
      </x:c>
      <x:c r="J67" s="6" t="str">
        <x:v>primary</x:v>
      </x:c>
      <x:c r="K67" s="11" t="str">
        <x:v>https://www.idx.id/Portals/0/StaticData/ListedCompanies/Corporate_Actions/New_Info_JSX/Jenis_Informasi/01_Laporan_Keuangan/02_Soft_Copy_Laporan_Keuangan//Laporan%20Keuangan%20Tahun%202026/TW2/BMRI/instance.zip</x:v>
      </x:c>
      <x:c r="L67" s="11" t="str">
        <x:v>Reported interest income less reported interest expense</x:v>
      </x:c>
      <x:c r="M67" s="6" t="str">
        <x:v>2026-07-24</x:v>
      </x:c>
      <x:c r="N67" s="6" t="d">
        <x:v>2026-10-24T16:17:20.409Z</x:v>
      </x:c>
    </x:row>
    <x:row r="68" ht="135" customHeight="1">
      <x:c r="A68" s="6" t="str">
        <x:v>netInterestIncome</x:v>
      </x:c>
      <x:c r="B68" s="2" t="n">
        <x:v>52383637000000</x:v>
      </x:c>
      <x:c r="C68" s="6" t="str">
        <x:v>IDR</x:v>
      </x:c>
      <x:c r="D68" s="6" t="str">
        <x:v>units</x:v>
      </x:c>
      <x:c r="E68" s="6" t="str">
        <x:v>2025-06-30</x:v>
      </x:c>
      <x:c r="F68" s="2" t="n">
        <x:v>181</x:v>
      </x:c>
      <x:c r="G68" s="6" t="str">
        <x:v>netInterestIncome</x:v>
      </x:c>
      <x:c r="H68" s="6" t="str">
        <x:v>idx-xbrl</x:v>
      </x:c>
      <x:c r="I68" s="6" t="str">
        <x:v>issuer:BMRI</x:v>
      </x:c>
      <x:c r="J68" s="6" t="str">
        <x:v>primary</x:v>
      </x:c>
      <x:c r="K68" s="11" t="str">
        <x:v>https://www.idx.id/Portals/0/StaticData/ListedCompanies/Corporate_Actions/New_Info_JSX/Jenis_Informasi/01_Laporan_Keuangan/02_Soft_Copy_Laporan_Keuangan//Laporan%20Keuangan%20Tahun%202026/TW2/BMRI/instance.zip</x:v>
      </x:c>
      <x:c r="L68" s="11" t="str">
        <x:v>Reported interest income less reported interest expense</x:v>
      </x:c>
      <x:c r="M68" s="6" t="str">
        <x:v>2026-07-24</x:v>
      </x:c>
      <x:c r="N68" s="6" t="d">
        <x:v>2026-10-24T16:17:20.409Z</x:v>
      </x:c>
    </x:row>
    <x:row r="69" ht="135" customHeight="1">
      <x:c r="A69" s="6" t="str">
        <x:v>ebit</x:v>
      </x:c>
      <x:c r="B69" s="2" t="n">
        <x:v>81930697000000</x:v>
      </x:c>
      <x:c r="C69" s="6" t="str">
        <x:v>IDR</x:v>
      </x:c>
      <x:c r="D69" s="6" t="str">
        <x:v>units</x:v>
      </x:c>
      <x:c r="E69" s="6" t="str">
        <x:v>2026-06-30</x:v>
      </x:c>
      <x:c r="F69" s="2" t="n">
        <x:v>365</x:v>
      </x:c>
      <x:c r="G69" s="6" t="str">
        <x:v>ebit</x:v>
      </x:c>
      <x:c r="H69" s="6" t="str">
        <x:v>idx-ttm</x:v>
      </x:c>
      <x:c r="I69" s="6" t="str">
        <x:v>issuer:BMRI</x:v>
      </x:c>
      <x:c r="J69" s="6" t="str">
        <x:v>primary</x:v>
      </x:c>
      <x:c r="K69" s="11" t="str">
        <x:v>https://www.idx.id/Portals/0/StaticData/ListedCompanies/Corporate_Actions/New_Info_JSX/Jenis_Informasi/01_Laporan_Keuangan/02_Soft_Copy_Laporan_Keuangan//Laporan%20Keuangan%20Tahun%202026/TW2/BMRI/instance.zip</x:v>
      </x:c>
      <x:c r="L69" s="11" t="str">
        <x:v>TTM = annual + current YTD - prior comparable YTD</x:v>
      </x:c>
      <x:c r="M69" s="6" t="str">
        <x:v>2026-07-24</x:v>
      </x:c>
      <x:c r="N69" s="6" t="d">
        <x:v>2026-10-24T16:17:20.409Z</x:v>
      </x:c>
    </x:row>
    <x:row r="70" ht="135" customHeight="1">
      <x:c r="A70" s="6" t="str">
        <x:v>netIncome</x:v>
      </x:c>
      <x:c r="B70" s="2" t="n">
        <x:v>62251187000000</x:v>
      </x:c>
      <x:c r="C70" s="6" t="str">
        <x:v>IDR</x:v>
      </x:c>
      <x:c r="D70" s="6" t="str">
        <x:v>units</x:v>
      </x:c>
      <x:c r="E70" s="6" t="str">
        <x:v>2026-06-30</x:v>
      </x:c>
      <x:c r="F70" s="2" t="n">
        <x:v>365</x:v>
      </x:c>
      <x:c r="G70" s="6" t="str">
        <x:v>parent_profit</x:v>
      </x:c>
      <x:c r="H70" s="6" t="str">
        <x:v>idx-ttm</x:v>
      </x:c>
      <x:c r="I70" s="6" t="str">
        <x:v>issuer:BMRI</x:v>
      </x:c>
      <x:c r="J70" s="6" t="str">
        <x:v>primary</x:v>
      </x:c>
      <x:c r="K70" s="11" t="str">
        <x:v>https://www.idx.id/Portals/0/StaticData/ListedCompanies/Corporate_Actions/New_Info_JSX/Jenis_Informasi/01_Laporan_Keuangan/02_Soft_Copy_Laporan_Keuangan//Laporan%20Keuangan%20Tahun%202026/TW2/BMRI/instance.zip</x:v>
      </x:c>
      <x:c r="L70" s="11" t="str">
        <x:v>TTM = annual + current YTD - prior comparable YTD</x:v>
      </x:c>
      <x:c r="M70" s="6" t="str">
        <x:v>2026-07-24</x:v>
      </x:c>
      <x:c r="N70" s="6" t="d">
        <x:v>2026-10-24T16:17:20.409Z</x:v>
      </x:c>
    </x:row>
    <x:row r="71" ht="135" customHeight="1">
      <x:c r="A71" s="6" t="str">
        <x:v>ocf</x:v>
      </x:c>
      <x:c r="B71" s="2" t="n">
        <x:v>43205477000000</x:v>
      </x:c>
      <x:c r="C71" s="6" t="str">
        <x:v>IDR</x:v>
      </x:c>
      <x:c r="D71" s="6" t="str">
        <x:v>units</x:v>
      </x:c>
      <x:c r="E71" s="6" t="str">
        <x:v>2026-06-30</x:v>
      </x:c>
      <x:c r="F71" s="2" t="n">
        <x:v>365</x:v>
      </x:c>
      <x:c r="G71" s="6" t="str">
        <x:v>ocf</x:v>
      </x:c>
      <x:c r="H71" s="6" t="str">
        <x:v>idx-ttm</x:v>
      </x:c>
      <x:c r="I71" s="6" t="str">
        <x:v>issuer:BMRI</x:v>
      </x:c>
      <x:c r="J71" s="6" t="str">
        <x:v>primary</x:v>
      </x:c>
      <x:c r="K71" s="11" t="str">
        <x:v>https://www.idx.id/Portals/0/StaticData/ListedCompanies/Corporate_Actions/New_Info_JSX/Jenis_Informasi/01_Laporan_Keuangan/02_Soft_Copy_Laporan_Keuangan//Laporan%20Keuangan%20Tahun%202026/TW2/BMRI/instance.zip</x:v>
      </x:c>
      <x:c r="L71" s="11" t="str">
        <x:v>TTM = annual + current YTD - prior comparable YTD</x:v>
      </x:c>
      <x:c r="M71" s="6" t="str">
        <x:v>2026-07-24</x:v>
      </x:c>
      <x:c r="N71" s="6" t="d">
        <x:v>2026-10-24T16:17:20.409Z</x:v>
      </x:c>
    </x:row>
    <x:row r="72" ht="135" customHeight="1">
      <x:c r="A72" s="6" t="str">
        <x:v>netInterestIncome</x:v>
      </x:c>
      <x:c r="B72" s="2" t="n">
        <x:v>101665571000000</x:v>
      </x:c>
      <x:c r="C72" s="6" t="str">
        <x:v>IDR</x:v>
      </x:c>
      <x:c r="D72" s="6" t="str">
        <x:v>units</x:v>
      </x:c>
      <x:c r="E72" s="6" t="str">
        <x:v>2026-06-30</x:v>
      </x:c>
      <x:c r="F72" s="2" t="n">
        <x:v>365</x:v>
      </x:c>
      <x:c r="G72" s="6" t="str">
        <x:v>netInterestIncome</x:v>
      </x:c>
      <x:c r="H72" s="6" t="str">
        <x:v>idx-ttm</x:v>
      </x:c>
      <x:c r="I72" s="6" t="str">
        <x:v>issuer:BMRI</x:v>
      </x:c>
      <x:c r="J72" s="6" t="str">
        <x:v>primary</x:v>
      </x:c>
      <x:c r="K72" s="11" t="str">
        <x:v>https://www.idx.id/Portals/0/StaticData/ListedCompanies/Corporate_Actions/New_Info_JSX/Jenis_Informasi/01_Laporan_Keuangan/02_Soft_Copy_Laporan_Keuangan//Laporan%20Keuangan%20Tahun%202026/TW2/BMRI/instance.zip</x:v>
      </x:c>
      <x:c r="L72" s="11" t="str">
        <x:v>TTM = annual + current YTD - prior comparable YTD</x:v>
      </x:c>
      <x:c r="M72" s="6" t="str">
        <x:v>2026-07-24</x:v>
      </x:c>
      <x:c r="N72" s="6" t="d">
        <x:v>2026-10-24T16:17:20.409Z</x:v>
      </x:c>
    </x:row>
    <x:row r="73" ht="135" customHeight="1">
      <x:c r="A73" s="6" t="str">
        <x:v>pretaxProfit</x:v>
      </x:c>
      <x:c r="B73" s="2" t="n">
        <x:v>81935358000000</x:v>
      </x:c>
      <x:c r="C73" s="6" t="str">
        <x:v>IDR</x:v>
      </x:c>
      <x:c r="D73" s="6" t="str">
        <x:v>units</x:v>
      </x:c>
      <x:c r="E73" s="6" t="str">
        <x:v>2026-06-30</x:v>
      </x:c>
      <x:c r="F73" s="2" t="n">
        <x:v>365</x:v>
      </x:c>
      <x:c r="G73" s="6" t="str">
        <x:v>pretaxProfit</x:v>
      </x:c>
      <x:c r="H73" s="6" t="str">
        <x:v>idx-ttm</x:v>
      </x:c>
      <x:c r="I73" s="6" t="str">
        <x:v>issuer:BMRI</x:v>
      </x:c>
      <x:c r="J73" s="6" t="str">
        <x:v>primary</x:v>
      </x:c>
      <x:c r="K73" s="11" t="str">
        <x:v>https://www.idx.id/Portals/0/StaticData/ListedCompanies/Corporate_Actions/New_Info_JSX/Jenis_Informasi/01_Laporan_Keuangan/02_Soft_Copy_Laporan_Keuangan//Laporan%20Keuangan%20Tahun%202026/TW2/BMRI/instance.zip</x:v>
      </x:c>
      <x:c r="L73" s="11" t="str">
        <x:v>TTM = annual + current YTD - prior comparable YTD</x:v>
      </x:c>
      <x:c r="M73" s="6" t="str">
        <x:v>2026-07-24</x:v>
      </x:c>
      <x:c r="N73" s="6" t="d">
        <x:v>2026-10-24T16:17:20.409Z</x:v>
      </x:c>
    </x:row>
    <x:row r="74" ht="135" customHeight="1">
      <x:c r="A74" s="6" t="str">
        <x:v>interestIncome</x:v>
      </x:c>
      <x:c r="B74" s="2" t="n">
        <x:v>155731526000000</x:v>
      </x:c>
      <x:c r="C74" s="6" t="str">
        <x:v>IDR</x:v>
      </x:c>
      <x:c r="D74" s="6" t="str">
        <x:v>units</x:v>
      </x:c>
      <x:c r="E74" s="6" t="str">
        <x:v>2026-06-30</x:v>
      </x:c>
      <x:c r="F74" s="2" t="n">
        <x:v>365</x:v>
      </x:c>
      <x:c r="G74" s="6" t="str">
        <x:v>interestIncome</x:v>
      </x:c>
      <x:c r="H74" s="6" t="str">
        <x:v>idx-ttm</x:v>
      </x:c>
      <x:c r="I74" s="6" t="str">
        <x:v>issuer:BMRI</x:v>
      </x:c>
      <x:c r="J74" s="6" t="str">
        <x:v>primary</x:v>
      </x:c>
      <x:c r="K74" s="11" t="str">
        <x:v>https://www.idx.id/Portals/0/StaticData/ListedCompanies/Corporate_Actions/New_Info_JSX/Jenis_Informasi/01_Laporan_Keuangan/02_Soft_Copy_Laporan_Keuangan//Laporan%20Keuangan%20Tahun%202026/TW2/BMRI/instance.zip</x:v>
      </x:c>
      <x:c r="L74" s="11" t="str">
        <x:v>TTM = annual + current YTD - prior comparable YTD</x:v>
      </x:c>
      <x:c r="M74" s="6" t="str">
        <x:v>2026-07-24</x:v>
      </x:c>
      <x:c r="N74" s="6" t="d">
        <x:v>2026-10-24T16:17:20.409Z</x:v>
      </x:c>
    </x:row>
    <x:row r="75" ht="135" customHeight="1">
      <x:c r="A75" s="6" t="str">
        <x:v>interestExpense</x:v>
      </x:c>
      <x:c r="B75" s="2" t="n">
        <x:v>54065955000000</x:v>
      </x:c>
      <x:c r="C75" s="6" t="str">
        <x:v>IDR</x:v>
      </x:c>
      <x:c r="D75" s="6" t="str">
        <x:v>units</x:v>
      </x:c>
      <x:c r="E75" s="6" t="str">
        <x:v>2026-06-30</x:v>
      </x:c>
      <x:c r="F75" s="2" t="n">
        <x:v>365</x:v>
      </x:c>
      <x:c r="G75" s="6" t="str">
        <x:v>interestExpense</x:v>
      </x:c>
      <x:c r="H75" s="6" t="str">
        <x:v>idx-ttm</x:v>
      </x:c>
      <x:c r="I75" s="6" t="str">
        <x:v>issuer:BMRI</x:v>
      </x:c>
      <x:c r="J75" s="6" t="str">
        <x:v>primary</x:v>
      </x:c>
      <x:c r="K75" s="11" t="str">
        <x:v>https://www.idx.id/Portals/0/StaticData/ListedCompanies/Corporate_Actions/New_Info_JSX/Jenis_Informasi/01_Laporan_Keuangan/02_Soft_Copy_Laporan_Keuangan//Laporan%20Keuangan%20Tahun%202026/TW2/BMRI/instance.zip</x:v>
      </x:c>
      <x:c r="L75" s="11" t="str">
        <x:v>TTM = annual + current YTD - prior comparable YTD</x:v>
      </x:c>
      <x:c r="M75" s="6" t="str">
        <x:v>2026-07-24</x:v>
      </x:c>
      <x:c r="N75" s="6" t="d">
        <x:v>2026-10-24T16:17:20.409Z</x:v>
      </x:c>
    </x:row>
    <x:row r="76" ht="135" customHeight="1">
      <x:c r="A76" s="6" t="str">
        <x:v>netInterestIncome</x:v>
      </x:c>
      <x:c r="B76" s="2" t="n">
        <x:v>101665571000000</x:v>
      </x:c>
      <x:c r="C76" s="6" t="str">
        <x:v>IDR</x:v>
      </x:c>
      <x:c r="D76" s="6" t="str">
        <x:v>units</x:v>
      </x:c>
      <x:c r="E76" s="6" t="str">
        <x:v>2026-06-30</x:v>
      </x:c>
      <x:c r="F76" s="2" t="n">
        <x:v>365</x:v>
      </x:c>
      <x:c r="G76" s="6" t="str">
        <x:v>netInterestIncome</x:v>
      </x:c>
      <x:c r="H76" s="6" t="str">
        <x:v>idx-ttm</x:v>
      </x:c>
      <x:c r="I76" s="6" t="str">
        <x:v>issuer:BMRI</x:v>
      </x:c>
      <x:c r="J76" s="6" t="str">
        <x:v>primary</x:v>
      </x:c>
      <x:c r="K76" s="11" t="str">
        <x:v>https://www.idx.id/Portals/0/StaticData/ListedCompanies/Corporate_Actions/New_Info_JSX/Jenis_Informasi/01_Laporan_Keuangan/02_Soft_Copy_Laporan_Keuangan//Laporan%20Keuangan%20Tahun%202026/TW2/BMRI/instance.zip</x:v>
      </x:c>
      <x:c r="L76" s="11" t="str">
        <x:v>TTM interest income less TTM interest expense</x:v>
      </x:c>
      <x:c r="M76" s="6" t="str">
        <x:v>2026-07-24</x:v>
      </x:c>
      <x:c r="N76" s="6" t="d">
        <x:v>2026-10-24T16:17:20.409Z</x:v>
      </x:c>
    </x:row>
    <x:row r="77" ht="135" customHeight="1">
      <x:c r="A77" s="6" t="str">
        <x:v>revenue</x:v>
      </x:c>
      <x:c r="B77" s="2" t="n">
        <x:v>101665571000000</x:v>
      </x:c>
      <x:c r="C77" s="6" t="str">
        <x:v>IDR</x:v>
      </x:c>
      <x:c r="D77" s="6" t="str">
        <x:v>units</x:v>
      </x:c>
      <x:c r="E77" s="6" t="str">
        <x:v>2026-06-30</x:v>
      </x:c>
      <x:c r="F77" s="2" t="n">
        <x:v>365</x:v>
      </x:c>
      <x:c r="G77" s="6" t="str">
        <x:v>revenue</x:v>
      </x:c>
      <x:c r="H77" s="6" t="str">
        <x:v>idx-ttm</x:v>
      </x:c>
      <x:c r="I77" s="6" t="str">
        <x:v>issuer:BMRI</x:v>
      </x:c>
      <x:c r="J77" s="6" t="str">
        <x:v>primary</x:v>
      </x:c>
      <x:c r="K77" s="11" t="str">
        <x:v>https://www.idx.id/Portals/0/StaticData/ListedCompanies/Corporate_Actions/New_Info_JSX/Jenis_Informasi/01_Laporan_Keuangan/02_Soft_Copy_Laporan_Keuangan//Laporan%20Keuangan%20Tahun%202026/TW2/BMRI/instance.zip</x:v>
      </x:c>
      <x:c r="L77" s="11" t="str">
        <x:v>Bank NII used as revenue proxy; DDM uses parent profit</x:v>
      </x:c>
      <x:c r="M77" s="6" t="str">
        <x:v>2026-07-24</x:v>
      </x:c>
      <x:c r="N77" s="6" t="d">
        <x:v>2026-10-24T16:17:20.409Z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 ht="31" customHeight="1">
      <x:c r="A1" s="5" t="str">
        <x:v>Field</x:v>
      </x:c>
      <x:c r="B1" s="5" t="str">
        <x:v>Selected IDR bn</x:v>
      </x:c>
      <x:c r="C1" s="5" t="str">
        <x:v>Status</x:v>
      </x:c>
      <x:c r="D1" s="5" t="str">
        <x:v>Selected source</x:v>
      </x:c>
      <x:c r="E1" s="5" t="str">
        <x:v>Maximum difference</x:v>
      </x:c>
      <x:c r="F1" s="5" t="str">
        <x:v>Origin groups</x:v>
      </x:c>
      <x:c r="G1" s="5" t="str">
        <x:v>Primary fact</x:v>
      </x:c>
      <x:c r="H1" s="5" t="str">
        <x:v>Availability</x:v>
      </x:c>
      <x:c r="I1" s="5" t="str">
        <x:v>Reason</x:v>
      </x:c>
      <x:c r="J1" s="18" t="str">
        <x:v>Partial known components IDR bn</x:v>
      </x:c>
    </x:row>
    <x:row r="2" ht="44" customHeight="1">
      <x:c r="A2" s="6" t="str">
        <x:v>revenue</x:v>
      </x:c>
      <x:c r="B2" s="2" t="n">
        <x:v>101665.57100000001</x:v>
      </x:c>
      <x:c r="C2" s="6" t="str">
        <x:v>PRIMARY</x:v>
      </x:c>
      <x:c r="D2" s="6" t="str">
        <x:v>idx-ttm</x:v>
      </x:c>
      <x:c r="E2" s="2" t="n">
        <x:v>0</x:v>
      </x:c>
      <x:c r="F2" s="2" t="n">
        <x:v>1</x:v>
      </x:c>
      <x:c r="G2" s="6" t="str">
        <x:v>Yes</x:v>
      </x:c>
      <x:c r="H2" s="6" t="str">
        <x:v>DERIVED</x:v>
      </x:c>
      <x:c r="I2" s="11" t="str">
        <x:v>Compatible value available for the selected reporting basis.</x:v>
      </x:c>
      <x:c r="J2" s="2"/>
    </x:row>
    <x:row r="3" ht="44" customHeight="1">
      <x:c r="A3" s="6" t="str">
        <x:v>ebit</x:v>
      </x:c>
      <x:c r="B3" s="2" t="n">
        <x:v>81930.697</x:v>
      </x:c>
      <x:c r="C3" s="6" t="str">
        <x:v>PRIMARY</x:v>
      </x:c>
      <x:c r="D3" s="6" t="str">
        <x:v>idx-ttm</x:v>
      </x:c>
      <x:c r="E3" s="2" t="n">
        <x:v>0</x:v>
      </x:c>
      <x:c r="F3" s="2" t="n">
        <x:v>1</x:v>
      </x:c>
      <x:c r="G3" s="6" t="str">
        <x:v>Yes</x:v>
      </x:c>
      <x:c r="H3" s="6" t="str">
        <x:v>DERIVED</x:v>
      </x:c>
      <x:c r="I3" s="11" t="str">
        <x:v>Compatible value available for the selected reporting basis.</x:v>
      </x:c>
      <x:c r="J3" s="2"/>
    </x:row>
    <x:row r="4" ht="44" customHeight="1">
      <x:c r="A4" s="6" t="str">
        <x:v>netIncome</x:v>
      </x:c>
      <x:c r="B4" s="2" t="n">
        <x:v>62251.187000000005</x:v>
      </x:c>
      <x:c r="C4" s="6" t="str">
        <x:v>PRIMARY</x:v>
      </x:c>
      <x:c r="D4" s="6" t="str">
        <x:v>idx-ttm</x:v>
      </x:c>
      <x:c r="E4" s="2" t="n">
        <x:v>0</x:v>
      </x:c>
      <x:c r="F4" s="2" t="n">
        <x:v>1</x:v>
      </x:c>
      <x:c r="G4" s="6" t="str">
        <x:v>Yes</x:v>
      </x:c>
      <x:c r="H4" s="6" t="str">
        <x:v>DERIVED</x:v>
      </x:c>
      <x:c r="I4" s="11" t="str">
        <x:v>Compatible value available for the selected reporting basis.</x:v>
      </x:c>
      <x:c r="J4" s="2"/>
    </x:row>
    <x:row r="5" ht="44" customHeight="1">
      <x:c r="A5" s="6" t="str">
        <x:v>bookEquity</x:v>
      </x:c>
      <x:c r="B5" s="2" t="n">
        <x:v>284593.401</x:v>
      </x:c>
      <x:c r="C5" s="6" t="str">
        <x:v>PRIMARY</x:v>
      </x:c>
      <x:c r="D5" s="6" t="str">
        <x:v>idx-xbrl</x:v>
      </x:c>
      <x:c r="E5" s="2" t="n">
        <x:v>0</x:v>
      </x:c>
      <x:c r="F5" s="2" t="n">
        <x:v>1</x:v>
      </x:c>
      <x:c r="G5" s="6" t="str">
        <x:v>Yes</x:v>
      </x:c>
      <x:c r="H5" s="6" t="str">
        <x:v>PRIMARY</x:v>
      </x:c>
      <x:c r="I5" s="11" t="str">
        <x:v>Compatible value available for the selected reporting basis.</x:v>
      </x:c>
      <x:c r="J5" s="2"/>
    </x:row>
    <x:row r="6" ht="83" customHeight="1">
      <x:c r="A6" s="6" t="str">
        <x:v>ebitda</x:v>
      </x:c>
      <x:c r="B6" s="2"/>
      <x:c r="C6" s="6" t="str">
        <x:v>MISSING</x:v>
      </x:c>
      <x:c r="D6" s="2"/>
      <x:c r="E6" s="2" t="n">
        <x:v>0</x:v>
      </x:c>
      <x:c r="F6" s="2" t="n">
        <x:v>0</x:v>
      </x:c>
      <x:c r="G6" s="6" t="str">
        <x:v>No</x:v>
      </x:c>
      <x:c r="H6" s="6" t="str">
        <x:v>ANNUAL ONLY</x:v>
      </x:c>
      <x:c r="I6" s="11" t="str">
        <x:v>Annual data exists. A compatible annual + current YTD - prior YTD series is unavailable; the annual value is retained below.</x:v>
      </x:c>
      <x:c r="J6" s="2"/>
    </x:row>
    <x:row r="7" ht="83" customHeight="1">
      <x:c r="A7" s="6" t="str">
        <x:v>debt</x:v>
      </x:c>
      <x:c r="B7" s="2"/>
      <x:c r="C7" s="6" t="str">
        <x:v>MISSING</x:v>
      </x:c>
      <x:c r="D7" s="2"/>
      <x:c r="E7" s="2" t="n">
        <x:v>0</x:v>
      </x:c>
      <x:c r="F7" s="2" t="n">
        <x:v>0</x:v>
      </x:c>
      <x:c r="G7" s="6" t="str">
        <x:v>No</x:v>
      </x:c>
      <x:c r="H7" s="6" t="str">
        <x:v>NOT EXTRACTED</x:v>
      </x:c>
      <x:c r="I7" s="11" t="str">
        <x:v>No compatible consolidated fact was extracted for this period. The filing may contain additional information in notes or PDFs.</x:v>
      </x:c>
      <x:c r="J7" s="2"/>
    </x:row>
    <x:row r="8" ht="83" customHeight="1">
      <x:c r="A8" s="6" t="str">
        <x:v>cash</x:v>
      </x:c>
      <x:c r="B8" s="2"/>
      <x:c r="C8" s="6" t="str">
        <x:v>MISSING</x:v>
      </x:c>
      <x:c r="D8" s="2"/>
      <x:c r="E8" s="2" t="n">
        <x:v>0</x:v>
      </x:c>
      <x:c r="F8" s="2" t="n">
        <x:v>0</x:v>
      </x:c>
      <x:c r="G8" s="6" t="str">
        <x:v>No</x:v>
      </x:c>
      <x:c r="H8" s="6" t="str">
        <x:v>NOT EXTRACTED</x:v>
      </x:c>
      <x:c r="I8" s="11" t="str">
        <x:v>No compatible consolidated fact was extracted for this period. The filing may contain additional information in notes or PDFs.</x:v>
      </x:c>
      <x:c r="J8" s="2"/>
    </x:row>
    <x:row r="9" ht="44" customHeight="1">
      <x:c r="A9" s="6" t="str">
        <x:v>minority</x:v>
      </x:c>
      <x:c r="B9" s="2" t="n">
        <x:v>8429.839</x:v>
      </x:c>
      <x:c r="C9" s="6" t="str">
        <x:v>PRIMARY</x:v>
      </x:c>
      <x:c r="D9" s="6" t="str">
        <x:v>idx-xbrl</x:v>
      </x:c>
      <x:c r="E9" s="2" t="n">
        <x:v>0</x:v>
      </x:c>
      <x:c r="F9" s="2" t="n">
        <x:v>1</x:v>
      </x:c>
      <x:c r="G9" s="6" t="str">
        <x:v>Yes</x:v>
      </x:c>
      <x:c r="H9" s="6" t="str">
        <x:v>PRIMARY</x:v>
      </x:c>
      <x:c r="I9" s="11" t="str">
        <x:v>Compatible value available for the selected reporting basis.</x:v>
      </x:c>
      <x:c r="J9" s="2"/>
    </x:row>
    <x:row r="10" ht="83" customHeight="1">
      <x:c r="A10" s="6" t="str">
        <x:v>preferred</x:v>
      </x:c>
      <x:c r="B10" s="2"/>
      <x:c r="C10" s="6" t="str">
        <x:v>MISSING</x:v>
      </x:c>
      <x:c r="D10" s="2"/>
      <x:c r="E10" s="2" t="n">
        <x:v>0</x:v>
      </x:c>
      <x:c r="F10" s="2" t="n">
        <x:v>0</x:v>
      </x:c>
      <x:c r="G10" s="6" t="str">
        <x:v>No</x:v>
      </x:c>
      <x:c r="H10" s="6" t="str">
        <x:v>NOT EXTRACTED</x:v>
      </x:c>
      <x:c r="I10" s="11" t="str">
        <x:v>No compatible consolidated fact was extracted for this period. The filing may contain additional information in notes or PDFs.</x:v>
      </x:c>
      <x:c r="J10" s="2"/>
    </x:row>
    <x:row r="11" ht="44" customHeight="1">
      <x:c r="A11" s="6" t="str">
        <x:v>assets</x:v>
      </x:c>
      <x:c r="B11" s="2" t="n">
        <x:v>2527568.193</x:v>
      </x:c>
      <x:c r="C11" s="6" t="str">
        <x:v>PRIMARY</x:v>
      </x:c>
      <x:c r="D11" s="6" t="str">
        <x:v>idx-xbrl</x:v>
      </x:c>
      <x:c r="E11" s="2" t="n">
        <x:v>0</x:v>
      </x:c>
      <x:c r="F11" s="2" t="n">
        <x:v>1</x:v>
      </x:c>
      <x:c r="G11" s="6" t="str">
        <x:v>Yes</x:v>
      </x:c>
      <x:c r="H11" s="6" t="str">
        <x:v>PRIMARY</x:v>
      </x:c>
      <x:c r="I11" s="11" t="str">
        <x:v>Compatible value available for the selected reporting basis.</x:v>
      </x:c>
      <x:c r="J11" s="2"/>
    </x:row>
    <x:row r="12" ht="44" customHeight="1">
      <x:c r="A12" s="6" t="str">
        <x:v>liabilities</x:v>
      </x:c>
      <x:c r="B12" s="2" t="n">
        <x:v>2234544.953</x:v>
      </x:c>
      <x:c r="C12" s="6" t="str">
        <x:v>PRIMARY</x:v>
      </x:c>
      <x:c r="D12" s="6" t="str">
        <x:v>idx-xbrl</x:v>
      </x:c>
      <x:c r="E12" s="2" t="n">
        <x:v>0</x:v>
      </x:c>
      <x:c r="F12" s="2" t="n">
        <x:v>1</x:v>
      </x:c>
      <x:c r="G12" s="6" t="str">
        <x:v>Yes</x:v>
      </x:c>
      <x:c r="H12" s="6" t="str">
        <x:v>PRIMARY</x:v>
      </x:c>
      <x:c r="I12" s="11" t="str">
        <x:v>Compatible value available for the selected reporting basis.</x:v>
      </x:c>
      <x:c r="J12" s="2"/>
    </x:row>
    <x:row r="13" ht="44" customHeight="1">
      <x:c r="A13" s="6" t="str">
        <x:v>ocf</x:v>
      </x:c>
      <x:c r="B13" s="2" t="n">
        <x:v>43205.477000000006</x:v>
      </x:c>
      <x:c r="C13" s="6" t="str">
        <x:v>PRIMARY</x:v>
      </x:c>
      <x:c r="D13" s="6" t="str">
        <x:v>idx-ttm</x:v>
      </x:c>
      <x:c r="E13" s="2" t="n">
        <x:v>0</x:v>
      </x:c>
      <x:c r="F13" s="2" t="n">
        <x:v>1</x:v>
      </x:c>
      <x:c r="G13" s="6" t="str">
        <x:v>Yes</x:v>
      </x:c>
      <x:c r="H13" s="6" t="str">
        <x:v>DERIVED</x:v>
      </x:c>
      <x:c r="I13" s="11" t="str">
        <x:v>Compatible value available for the selected reporting basis.</x:v>
      </x:c>
      <x:c r="J13" s="2"/>
    </x:row>
    <x:row r="14" ht="83" customHeight="1">
      <x:c r="A14" s="6" t="str">
        <x:v>da</x:v>
      </x:c>
      <x:c r="B14" s="2"/>
      <x:c r="C14" s="6" t="str">
        <x:v>MISSING</x:v>
      </x:c>
      <x:c r="D14" s="2"/>
      <x:c r="E14" s="2" t="n">
        <x:v>0</x:v>
      </x:c>
      <x:c r="F14" s="2" t="n">
        <x:v>0</x:v>
      </x:c>
      <x:c r="G14" s="6" t="str">
        <x:v>No</x:v>
      </x:c>
      <x:c r="H14" s="6" t="str">
        <x:v>NOT EXTRACTED</x:v>
      </x:c>
      <x:c r="I14" s="11" t="str">
        <x:v>No compatible consolidated fact was extracted for this period. The filing may contain additional information in notes or PDFs.</x:v>
      </x:c>
      <x:c r="J14" s="2"/>
    </x:row>
    <x:row r="15" ht="44" customHeight="1">
      <x:c r="A15" s="6" t="str">
        <x:v>totalEquity</x:v>
      </x:c>
      <x:c r="B15" s="2" t="n">
        <x:v>293023.24</x:v>
      </x:c>
      <x:c r="C15" s="6" t="str">
        <x:v>PRIMARY</x:v>
      </x:c>
      <x:c r="D15" s="6" t="str">
        <x:v>idx-xbrl</x:v>
      </x:c>
      <x:c r="E15" s="2" t="n">
        <x:v>0</x:v>
      </x:c>
      <x:c r="F15" s="2" t="n">
        <x:v>1</x:v>
      </x:c>
      <x:c r="G15" s="6" t="str">
        <x:v>Yes</x:v>
      </x:c>
      <x:c r="H15" s="6" t="str">
        <x:v>PRIMARY</x:v>
      </x:c>
      <x:c r="I15" s="11" t="str">
        <x:v>Compatible value available for the selected reporting basis.</x:v>
      </x:c>
      <x:c r="J15" s="2"/>
    </x:row>
    <x:row r="16" ht="44" customHeight="1">
      <x:c r="A16" s="6" t="str">
        <x:v>temporarySyirkah</x:v>
      </x:c>
      <x:c r="B16" s="2" t="n">
        <x:v>0</x:v>
      </x:c>
      <x:c r="C16" s="6" t="str">
        <x:v>PRIMARY</x:v>
      </x:c>
      <x:c r="D16" s="6" t="str">
        <x:v>idx-xbrl</x:v>
      </x:c>
      <x:c r="E16" s="2" t="n">
        <x:v>0</x:v>
      </x:c>
      <x:c r="F16" s="2" t="n">
        <x:v>1</x:v>
      </x:c>
      <x:c r="G16" s="6" t="str">
        <x:v>Yes</x:v>
      </x:c>
      <x:c r="H16" s="6" t="str">
        <x:v>PRIMARY</x:v>
      </x:c>
      <x:c r="I16" s="11" t="str">
        <x:v>Compatible value available for the selected reporting basis.</x:v>
      </x:c>
      <x:c r="J16" s="2"/>
    </x:row>
    <x:row r="17" ht="44" customHeight="1">
      <x:c r="A17" s="6" t="str">
        <x:v>netInterestIncome</x:v>
      </x:c>
      <x:c r="B17" s="2" t="n">
        <x:v>101665.57100000001</x:v>
      </x:c>
      <x:c r="C17" s="6" t="str">
        <x:v>PRIMARY</x:v>
      </x:c>
      <x:c r="D17" s="6" t="str">
        <x:v>idx-ttm</x:v>
      </x:c>
      <x:c r="E17" s="2" t="n">
        <x:v>0</x:v>
      </x:c>
      <x:c r="F17" s="2" t="n">
        <x:v>1</x:v>
      </x:c>
      <x:c r="G17" s="6" t="str">
        <x:v>Yes</x:v>
      </x:c>
      <x:c r="H17" s="6" t="str">
        <x:v>DERIVED</x:v>
      </x:c>
      <x:c r="I17" s="11" t="str">
        <x:v>Compatible value available for the selected reporting basis.</x:v>
      </x:c>
      <x:c r="J17" s="2"/>
    </x:row>
    <x:row r="18" ht="83" customHeight="1">
      <x:c r="A18" s="6" t="str">
        <x:v>capexPpe</x:v>
      </x:c>
      <x:c r="B18" s="2"/>
      <x:c r="C18" s="6" t="str">
        <x:v>MISSING</x:v>
      </x:c>
      <x:c r="D18" s="2"/>
      <x:c r="E18" s="2" t="n">
        <x:v>0</x:v>
      </x:c>
      <x:c r="F18" s="2" t="n">
        <x:v>0</x:v>
      </x:c>
      <x:c r="G18" s="6" t="str">
        <x:v>No</x:v>
      </x:c>
      <x:c r="H18" s="6" t="str">
        <x:v>NOT EXTRACTED</x:v>
      </x:c>
      <x:c r="I18" s="11" t="str">
        <x:v>No compatible consolidated fact was extracted for this period. The filing may contain additional information in notes or PDFs.</x:v>
      </x:c>
      <x:c r="J18" s="2"/>
    </x:row>
    <x:row r="19" ht="83" customHeight="1">
      <x:c r="A19" s="6" t="str">
        <x:v>capexIntangibles</x:v>
      </x:c>
      <x:c r="B19" s="2"/>
      <x:c r="C19" s="6" t="str">
        <x:v>MISSING</x:v>
      </x:c>
      <x:c r="D19" s="2"/>
      <x:c r="E19" s="2" t="n">
        <x:v>0</x:v>
      </x:c>
      <x:c r="F19" s="2" t="n">
        <x:v>0</x:v>
      </x:c>
      <x:c r="G19" s="6" t="str">
        <x:v>No</x:v>
      </x:c>
      <x:c r="H19" s="6" t="str">
        <x:v>NOT EXTRACTED</x:v>
      </x:c>
      <x:c r="I19" s="11" t="str">
        <x:v>No compatible consolidated fact was extracted for this period. The filing may contain additional information in notes or PDFs.</x:v>
      </x:c>
      <x:c r="J19" s="2"/>
    </x:row>
    <x:row r="20" ht="83" customHeight="1">
      <x:c r="A20" s="6" t="str">
        <x:v>participantFunds</x:v>
      </x:c>
      <x:c r="B20" s="2"/>
      <x:c r="C20" s="6" t="str">
        <x:v>MISSING</x:v>
      </x:c>
      <x:c r="D20" s="2"/>
      <x:c r="E20" s="2" t="n">
        <x:v>0</x:v>
      </x:c>
      <x:c r="F20" s="2" t="n">
        <x:v>0</x:v>
      </x:c>
      <x:c r="G20" s="6" t="str">
        <x:v>No</x:v>
      </x:c>
      <x:c r="H20" s="6" t="str">
        <x:v>NOT EXTRACTED</x:v>
      </x:c>
      <x:c r="I20" s="11" t="str">
        <x:v>No compatible consolidated fact was extracted for this period. The filing may contain additional information in notes or PDFs.</x:v>
      </x:c>
      <x:c r="J20" s="2"/>
    </x:row>
    <x:row r="21" ht="83" customHeight="1">
      <x:c r="A21" s="6" t="str">
        <x:v>depreciation</x:v>
      </x:c>
      <x:c r="B21" s="2"/>
      <x:c r="C21" s="6" t="str">
        <x:v>MISSING</x:v>
      </x:c>
      <x:c r="D21" s="2"/>
      <x:c r="E21" s="2" t="n">
        <x:v>0</x:v>
      </x:c>
      <x:c r="F21" s="2" t="n">
        <x:v>0</x:v>
      </x:c>
      <x:c r="G21" s="6" t="str">
        <x:v>No</x:v>
      </x:c>
      <x:c r="H21" s="6" t="str">
        <x:v>ANNUAL ONLY</x:v>
      </x:c>
      <x:c r="I21" s="11" t="str">
        <x:v>Annual data exists. A compatible annual + current YTD - prior YTD series is unavailable; the annual value is retained below.</x:v>
      </x:c>
      <x:c r="J21" s="2"/>
    </x:row>
    <x:row r="22" ht="83" customHeight="1">
      <x:c r="A22" s="6" t="str">
        <x:v>amortization</x:v>
      </x:c>
      <x:c r="B22" s="2"/>
      <x:c r="C22" s="6" t="str">
        <x:v>MISSING</x:v>
      </x:c>
      <x:c r="D22" s="2"/>
      <x:c r="E22" s="2" t="n">
        <x:v>0</x:v>
      </x:c>
      <x:c r="F22" s="2" t="n">
        <x:v>0</x:v>
      </x:c>
      <x:c r="G22" s="6" t="str">
        <x:v>No</x:v>
      </x:c>
      <x:c r="H22" s="6" t="str">
        <x:v>NOT EXTRACTED</x:v>
      </x:c>
      <x:c r="I22" s="11" t="str">
        <x:v>No compatible consolidated fact was extracted for this period. The filing may contain additional information in notes or PDFs.</x:v>
      </x:c>
      <x:c r="J22" s="2"/>
    </x:row>
    <x:row r="23" ht="83" customHeight="1">
      <x:c r="A23" s="6" t="str">
        <x:v>grossProfit</x:v>
      </x:c>
      <x:c r="B23" s="2"/>
      <x:c r="C23" s="6" t="str">
        <x:v>MISSING</x:v>
      </x:c>
      <x:c r="D23" s="2"/>
      <x:c r="E23" s="2" t="n">
        <x:v>0</x:v>
      </x:c>
      <x:c r="F23" s="2" t="n">
        <x:v>0</x:v>
      </x:c>
      <x:c r="G23" s="6" t="str">
        <x:v>No</x:v>
      </x:c>
      <x:c r="H23" s="6" t="str">
        <x:v>NOT EXTRACTED</x:v>
      </x:c>
      <x:c r="I23" s="11" t="str">
        <x:v>No compatible consolidated fact was extracted for this period. The filing may contain additional information in notes or PDFs.</x:v>
      </x:c>
      <x:c r="J23" s="2"/>
    </x:row>
    <x:row r="24" ht="44" customHeight="1">
      <x:c r="A24" s="6" t="str">
        <x:v>pretaxProfit</x:v>
      </x:c>
      <x:c r="B24" s="2" t="n">
        <x:v>81935.35800000001</x:v>
      </x:c>
      <x:c r="C24" s="6" t="str">
        <x:v>PRIMARY</x:v>
      </x:c>
      <x:c r="D24" s="6" t="str">
        <x:v>idx-ttm</x:v>
      </x:c>
      <x:c r="E24" s="2" t="n">
        <x:v>0</x:v>
      </x:c>
      <x:c r="F24" s="2" t="n">
        <x:v>1</x:v>
      </x:c>
      <x:c r="G24" s="6" t="str">
        <x:v>Yes</x:v>
      </x:c>
      <x:c r="H24" s="6" t="str">
        <x:v>DERIVED</x:v>
      </x:c>
      <x:c r="I24" s="11" t="str">
        <x:v>Compatible value available for the selected reporting basis.</x:v>
      </x:c>
      <x:c r="J24" s="2"/>
    </x:row>
    <x:row r="25" ht="83" customHeight="1">
      <x:c r="A25" s="6" t="str">
        <x:v>financeCosts</x:v>
      </x:c>
      <x:c r="B25" s="2"/>
      <x:c r="C25" s="6" t="str">
        <x:v>MISSING</x:v>
      </x:c>
      <x:c r="D25" s="2"/>
      <x:c r="E25" s="2" t="n">
        <x:v>0</x:v>
      </x:c>
      <x:c r="F25" s="2" t="n">
        <x:v>0</x:v>
      </x:c>
      <x:c r="G25" s="6" t="str">
        <x:v>No</x:v>
      </x:c>
      <x:c r="H25" s="6" t="str">
        <x:v>NOT EXTRACTED</x:v>
      </x:c>
      <x:c r="I25" s="11" t="str">
        <x:v>No compatible consolidated fact was extracted for this period. The filing may contain additional information in notes or PDFs.</x:v>
      </x:c>
      <x:c r="J25" s="2"/>
    </x:row>
    <x:row r="26" ht="83" customHeight="1">
      <x:c r="A26" s="6" t="str">
        <x:v>financeIncome</x:v>
      </x:c>
      <x:c r="B26" s="2"/>
      <x:c r="C26" s="6" t="str">
        <x:v>MISSING</x:v>
      </x:c>
      <x:c r="D26" s="2"/>
      <x:c r="E26" s="2" t="n">
        <x:v>0</x:v>
      </x:c>
      <x:c r="F26" s="2" t="n">
        <x:v>0</x:v>
      </x:c>
      <x:c r="G26" s="6" t="str">
        <x:v>No</x:v>
      </x:c>
      <x:c r="H26" s="6" t="str">
        <x:v>NOT EXTRACTED</x:v>
      </x:c>
      <x:c r="I26" s="11" t="str">
        <x:v>No compatible consolidated fact was extracted for this period. The filing may contain additional information in notes or PDFs.</x:v>
      </x:c>
      <x:c r="J26" s="2"/>
    </x:row>
    <x:row r="27" ht="83" customHeight="1">
      <x:c r="A27" s="6" t="str">
        <x:v>capex</x:v>
      </x:c>
      <x:c r="B27" s="2"/>
      <x:c r="C27" s="6" t="str">
        <x:v>MISSING</x:v>
      </x:c>
      <x:c r="D27" s="2"/>
      <x:c r="E27" s="2" t="n">
        <x:v>0</x:v>
      </x:c>
      <x:c r="F27" s="2" t="n">
        <x:v>0</x:v>
      </x:c>
      <x:c r="G27" s="6" t="str">
        <x:v>No</x:v>
      </x:c>
      <x:c r="H27" s="6" t="str">
        <x:v>ANNUAL ONLY</x:v>
      </x:c>
      <x:c r="I27" s="11" t="str">
        <x:v>Annual data exists. A compatible annual + current YTD - prior YTD series is unavailable; the annual value is retained below.</x:v>
      </x:c>
      <x:c r="J27" s="2"/>
    </x:row>
    <x:row r="28" ht="83" customHeight="1">
      <x:c r="A28" s="6" t="str">
        <x:v>reportedBorrowings</x:v>
      </x:c>
      <x:c r="B28" s="2"/>
      <x:c r="C28" s="6" t="str">
        <x:v>MISSING</x:v>
      </x:c>
      <x:c r="D28" s="2"/>
      <x:c r="E28" s="2" t="n">
        <x:v>0</x:v>
      </x:c>
      <x:c r="F28" s="2" t="n">
        <x:v>0</x:v>
      </x:c>
      <x:c r="G28" s="6" t="str">
        <x:v>No</x:v>
      </x:c>
      <x:c r="H28" s="6" t="str">
        <x:v>NOT EXTRACTED</x:v>
      </x:c>
      <x:c r="I28" s="11" t="str">
        <x:v>No compatible consolidated fact was extracted for this period. The filing may contain additional information in notes or PDFs.</x:v>
      </x:c>
      <x:c r="J28" s="2"/>
    </x:row>
    <x:row r="29" ht="83" customHeight="1">
      <x:c r="A29" s="6" t="str">
        <x:v>providerDaInput</x:v>
      </x:c>
      <x:c r="B29" s="2"/>
      <x:c r="C29" s="6" t="str">
        <x:v>MISSING</x:v>
      </x:c>
      <x:c r="D29" s="2"/>
      <x:c r="E29" s="2" t="n">
        <x:v>0</x:v>
      </x:c>
      <x:c r="F29" s="2" t="n">
        <x:v>0</x:v>
      </x:c>
      <x:c r="G29" s="6" t="str">
        <x:v>No</x:v>
      </x:c>
      <x:c r="H29" s="6" t="str">
        <x:v>NOT EXTRACTED</x:v>
      </x:c>
      <x:c r="I29" s="11" t="str">
        <x:v>No compatible consolidated fact was extracted for this period. The filing may contain additional information in notes or PDFs.</x:v>
      </x:c>
      <x:c r="J29" s="2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</x:cols>
  <x:sheetData>
    <x:row r="1" ht="23" customHeight="1">
      <x:c r="A1" s="5" t="str">
        <x:v>Field</x:v>
      </x:c>
      <x:c r="B1" s="5" t="str">
        <x:v>Period</x:v>
      </x:c>
      <x:c r="C1" s="5" t="str">
        <x:v>Currency</x:v>
      </x:c>
      <x:c r="D1" s="5" t="str">
        <x:v>Component</x:v>
      </x:c>
      <x:c r="E1" s="5" t="str">
        <x:v>Native amount</x:v>
      </x:c>
      <x:c r="F1" s="5" t="str">
        <x:v>Sign</x:v>
      </x:c>
      <x:c r="G1" s="5" t="str">
        <x:v>Contribution</x:v>
      </x:c>
      <x:c r="H1" s="5" t="str">
        <x:v>Derived native amount</x:v>
      </x:c>
      <x:c r="I1" s="5" t="str">
        <x:v>Source / formula</x:v>
      </x:c>
    </x:row>
    <x:row r="2" ht="160" customHeight="1">
      <x:c r="A2" s="6" t="str">
        <x:v>ebit</x:v>
      </x:c>
      <x:c r="B2" s="6" t="str">
        <x:v>2026-06-30</x:v>
      </x:c>
      <x:c r="C2" s="6" t="str">
        <x:v>IDR</x:v>
      </x:c>
      <x:c r="D2" s="6" t="str">
        <x:v>ttm</x:v>
      </x:c>
      <x:c r="E2" s="2"/>
      <x:c r="F2" s="2"/>
      <x:c r="G2" s="2"/>
      <x:c r="H2" s="7" t="n">
        <x:f>SUM(G3:G5)</x:f>
        <x:v>81930697000000</x:v>
      </x:c>
      <x:c r="I2" s="11" t="str">
        <x:v>Prior annual + current YTD - prior comparable YTD / https://www.idx.id/Portals/0/StaticData/ListedCompanies/Corporate_Actions/New_Info_JSX/Jenis_Informasi/01_Laporan_Keuangan/02_Soft_Copy_Laporan_Keuangan//Laporan%20Keuangan%20Tahun%202026/TW2/BMRI/instance.zip</x:v>
      </x:c>
    </x:row>
    <x:row r="3" ht="31" customHeight="1">
      <x:c r="A3" s="2"/>
      <x:c r="B3" s="2"/>
      <x:c r="C3" s="2"/>
      <x:c r="D3" s="11" t="str">
        <x:v>ProfitFromOperation / CurrentYearDuration</x:v>
      </x:c>
      <x:c r="E3" s="2" t="n">
        <x:v>76310739000000</x:v>
      </x:c>
      <x:c r="F3" s="2" t="n">
        <x:v>1</x:v>
      </x:c>
      <x:c r="G3" s="7" t="n">
        <x:f>E3*F3</x:f>
        <x:v>76310739000000</x:v>
      </x:c>
      <x:c r="H3" s="2"/>
      <x:c r="I3" s="2"/>
    </x:row>
    <x:row r="4" ht="31" customHeight="1">
      <x:c r="A4" s="2"/>
      <x:c r="B4" s="2"/>
      <x:c r="C4" s="2"/>
      <x:c r="D4" s="11" t="str">
        <x:v>ProfitFromOperation / CurrentYearDuration</x:v>
      </x:c>
      <x:c r="E4" s="2" t="n">
        <x:v>39062791000000</x:v>
      </x:c>
      <x:c r="F4" s="2" t="n">
        <x:v>1</x:v>
      </x:c>
      <x:c r="G4" s="7" t="n">
        <x:f>E4*F4</x:f>
        <x:v>39062791000000</x:v>
      </x:c>
      <x:c r="H4" s="2"/>
      <x:c r="I4" s="2"/>
    </x:row>
    <x:row r="5" ht="31" customHeight="1">
      <x:c r="A5" s="2"/>
      <x:c r="B5" s="2"/>
      <x:c r="C5" s="2"/>
      <x:c r="D5" s="11" t="str">
        <x:v>ProfitFromOperation / PriorYearDuration</x:v>
      </x:c>
      <x:c r="E5" s="2" t="n">
        <x:v>33442833000000</x:v>
      </x:c>
      <x:c r="F5" s="2" t="n">
        <x:v>-1</x:v>
      </x:c>
      <x:c r="G5" s="7" t="n">
        <x:f>E5*F5</x:f>
        <x:v>-33442833000000</x:v>
      </x:c>
      <x:c r="H5" s="2"/>
      <x:c r="I5" s="2"/>
    </x:row>
    <x:row r="6" ht="160" customHeight="1">
      <x:c r="A6" s="6" t="str">
        <x:v>netIncome</x:v>
      </x:c>
      <x:c r="B6" s="6" t="str">
        <x:v>2026-06-30</x:v>
      </x:c>
      <x:c r="C6" s="6" t="str">
        <x:v>IDR</x:v>
      </x:c>
      <x:c r="D6" s="6" t="str">
        <x:v>ttm</x:v>
      </x:c>
      <x:c r="E6" s="2"/>
      <x:c r="F6" s="2"/>
      <x:c r="G6" s="2"/>
      <x:c r="H6" s="7" t="n">
        <x:f>SUM(G7:G9)</x:f>
        <x:v>62251187000000</x:v>
      </x:c>
      <x:c r="I6" s="11" t="str">
        <x:v>Prior annual + current YTD - prior comparable YTD / https://www.idx.id/Portals/0/StaticData/ListedCompanies/Corporate_Actions/New_Info_JSX/Jenis_Informasi/01_Laporan_Keuangan/02_Soft_Copy_Laporan_Keuangan//Laporan%20Keuangan%20Tahun%202026/TW2/BMRI/instance.zip</x:v>
      </x:c>
    </x:row>
    <x:row r="7" ht="44" customHeight="1">
      <x:c r="A7" s="2"/>
      <x:c r="B7" s="2"/>
      <x:c r="C7" s="2"/>
      <x:c r="D7" s="11" t="str">
        <x:v>ProfitLossAttributableToParentEntity / CurrentYearDuration</x:v>
      </x:c>
      <x:c r="E7" s="2" t="n">
        <x:v>56293950000000</x:v>
      </x:c>
      <x:c r="F7" s="2" t="n">
        <x:v>1</x:v>
      </x:c>
      <x:c r="G7" s="7" t="n">
        <x:f>E7*F7</x:f>
        <x:v>56293950000000</x:v>
      </x:c>
      <x:c r="H7" s="2"/>
      <x:c r="I7" s="2"/>
    </x:row>
    <x:row r="8" ht="44" customHeight="1">
      <x:c r="A8" s="2"/>
      <x:c r="B8" s="2"/>
      <x:c r="C8" s="2"/>
      <x:c r="D8" s="11" t="str">
        <x:v>ProfitLossAttributableToParentEntity / CurrentYearDuration</x:v>
      </x:c>
      <x:c r="E8" s="2" t="n">
        <x:v>30412319000000</x:v>
      </x:c>
      <x:c r="F8" s="2" t="n">
        <x:v>1</x:v>
      </x:c>
      <x:c r="G8" s="7" t="n">
        <x:f>E8*F8</x:f>
        <x:v>30412319000000</x:v>
      </x:c>
      <x:c r="H8" s="2"/>
      <x:c r="I8" s="2"/>
    </x:row>
    <x:row r="9" ht="44" customHeight="1">
      <x:c r="A9" s="2"/>
      <x:c r="B9" s="2"/>
      <x:c r="C9" s="2"/>
      <x:c r="D9" s="11" t="str">
        <x:v>ProfitLossAttributableToParentEntity / PriorYearDuration</x:v>
      </x:c>
      <x:c r="E9" s="2" t="n">
        <x:v>24455082000000</x:v>
      </x:c>
      <x:c r="F9" s="2" t="n">
        <x:v>-1</x:v>
      </x:c>
      <x:c r="G9" s="7" t="n">
        <x:f>E9*F9</x:f>
        <x:v>-24455082000000</x:v>
      </x:c>
      <x:c r="H9" s="2"/>
      <x:c r="I9" s="2"/>
    </x:row>
    <x:row r="10" ht="160" customHeight="1">
      <x:c r="A10" s="6" t="str">
        <x:v>ocf</x:v>
      </x:c>
      <x:c r="B10" s="6" t="str">
        <x:v>2026-06-30</x:v>
      </x:c>
      <x:c r="C10" s="6" t="str">
        <x:v>IDR</x:v>
      </x:c>
      <x:c r="D10" s="6" t="str">
        <x:v>ttm</x:v>
      </x:c>
      <x:c r="E10" s="2"/>
      <x:c r="F10" s="2"/>
      <x:c r="G10" s="2"/>
      <x:c r="H10" s="7" t="n">
        <x:f>SUM(G11:G13)</x:f>
        <x:v>43205477000000</x:v>
      </x:c>
      <x:c r="I10" s="11" t="str">
        <x:v>Prior annual + current YTD - prior comparable YTD / https://www.idx.id/Portals/0/StaticData/ListedCompanies/Corporate_Actions/New_Info_JSX/Jenis_Informasi/01_Laporan_Keuangan/02_Soft_Copy_Laporan_Keuangan//Laporan%20Keuangan%20Tahun%202026/TW2/BMRI/instance.zip</x:v>
      </x:c>
    </x:row>
    <x:row r="11" ht="57" customHeight="1">
      <x:c r="A11" s="2"/>
      <x:c r="B11" s="2"/>
      <x:c r="C11" s="2"/>
      <x:c r="D11" s="11" t="str">
        <x:v>NetCashFlowsReceivedFromUsedInOperatingActivities / CurrentYearDuration</x:v>
      </x:c>
      <x:c r="E11" s="2" t="n">
        <x:v>154183604000000</x:v>
      </x:c>
      <x:c r="F11" s="2" t="n">
        <x:v>1</x:v>
      </x:c>
      <x:c r="G11" s="7" t="n">
        <x:f>E11*F11</x:f>
        <x:v>154183604000000</x:v>
      </x:c>
      <x:c r="H11" s="2"/>
      <x:c r="I11" s="2"/>
    </x:row>
    <x:row r="12" ht="57" customHeight="1">
      <x:c r="A12" s="2"/>
      <x:c r="B12" s="2"/>
      <x:c r="C12" s="2"/>
      <x:c r="D12" s="11" t="str">
        <x:v>NetCashFlowsReceivedFromUsedInOperatingActivities / CurrentYearDuration</x:v>
      </x:c>
      <x:c r="E12" s="2" t="n">
        <x:v>-51810849000000</x:v>
      </x:c>
      <x:c r="F12" s="2" t="n">
        <x:v>1</x:v>
      </x:c>
      <x:c r="G12" s="7" t="n">
        <x:f>E12*F12</x:f>
        <x:v>-51810849000000</x:v>
      </x:c>
      <x:c r="H12" s="2"/>
      <x:c r="I12" s="2"/>
    </x:row>
    <x:row r="13" ht="57" customHeight="1">
      <x:c r="A13" s="2"/>
      <x:c r="B13" s="2"/>
      <x:c r="C13" s="2"/>
      <x:c r="D13" s="11" t="str">
        <x:v>NetCashFlowsReceivedFromUsedInOperatingActivities / PriorYearDuration</x:v>
      </x:c>
      <x:c r="E13" s="2" t="n">
        <x:v>59167278000000</x:v>
      </x:c>
      <x:c r="F13" s="2" t="n">
        <x:v>-1</x:v>
      </x:c>
      <x:c r="G13" s="7" t="n">
        <x:f>E13*F13</x:f>
        <x:v>-59167278000000</x:v>
      </x:c>
      <x:c r="H13" s="2"/>
      <x:c r="I13" s="2"/>
    </x:row>
    <x:row r="14" ht="160" customHeight="1">
      <x:c r="A14" s="6" t="str">
        <x:v>netInterestIncome</x:v>
      </x:c>
      <x:c r="B14" s="6" t="str">
        <x:v>2026-06-30</x:v>
      </x:c>
      <x:c r="C14" s="6" t="str">
        <x:v>IDR</x:v>
      </x:c>
      <x:c r="D14" s="6" t="str">
        <x:v>ttm</x:v>
      </x:c>
      <x:c r="E14" s="2"/>
      <x:c r="F14" s="2"/>
      <x:c r="G14" s="2"/>
      <x:c r="H14" s="7" t="n">
        <x:f>SUM(G15:G17)</x:f>
        <x:v>101665571000000</x:v>
      </x:c>
      <x:c r="I14" s="11" t="str">
        <x:v>Prior annual + current YTD - prior comparable YTD / https://www.idx.id/Portals/0/StaticData/ListedCompanies/Corporate_Actions/New_Info_JSX/Jenis_Informasi/01_Laporan_Keuangan/02_Soft_Copy_Laporan_Keuangan//Laporan%20Keuangan%20Tahun%202026/TW2/BMRI/instance.zip</x:v>
      </x:c>
    </x:row>
    <x:row r="15" ht="44" customHeight="1">
      <x:c r="A15" s="2"/>
      <x:c r="B15" s="2"/>
      <x:c r="C15" s="2"/>
      <x:c r="D15" s="11" t="str">
        <x:v>Reported interest income less reported interest expense</x:v>
      </x:c>
      <x:c r="E15" s="2" t="n">
        <x:v>106210035000000</x:v>
      </x:c>
      <x:c r="F15" s="2" t="n">
        <x:v>1</x:v>
      </x:c>
      <x:c r="G15" s="7" t="n">
        <x:f>E15*F15</x:f>
        <x:v>106210035000000</x:v>
      </x:c>
      <x:c r="H15" s="2"/>
      <x:c r="I15" s="2"/>
    </x:row>
    <x:row r="16" ht="44" customHeight="1">
      <x:c r="A16" s="2"/>
      <x:c r="B16" s="2"/>
      <x:c r="C16" s="2"/>
      <x:c r="D16" s="11" t="str">
        <x:v>Reported interest income less reported interest expense</x:v>
      </x:c>
      <x:c r="E16" s="2" t="n">
        <x:v>47839173000000</x:v>
      </x:c>
      <x:c r="F16" s="2" t="n">
        <x:v>1</x:v>
      </x:c>
      <x:c r="G16" s="7" t="n">
        <x:f>E16*F16</x:f>
        <x:v>47839173000000</x:v>
      </x:c>
      <x:c r="H16" s="2"/>
      <x:c r="I16" s="2"/>
    </x:row>
    <x:row r="17" ht="44" customHeight="1">
      <x:c r="A17" s="2"/>
      <x:c r="B17" s="2"/>
      <x:c r="C17" s="2"/>
      <x:c r="D17" s="11" t="str">
        <x:v>Reported interest income less reported interest expense</x:v>
      </x:c>
      <x:c r="E17" s="2" t="n">
        <x:v>52383637000000</x:v>
      </x:c>
      <x:c r="F17" s="2" t="n">
        <x:v>-1</x:v>
      </x:c>
      <x:c r="G17" s="7" t="n">
        <x:f>E17*F17</x:f>
        <x:v>-52383637000000</x:v>
      </x:c>
      <x:c r="H17" s="2"/>
      <x:c r="I17" s="2"/>
    </x:row>
    <x:row r="18" ht="160" customHeight="1">
      <x:c r="A18" s="6" t="str">
        <x:v>pretaxProfit</x:v>
      </x:c>
      <x:c r="B18" s="6" t="str">
        <x:v>2026-06-30</x:v>
      </x:c>
      <x:c r="C18" s="6" t="str">
        <x:v>IDR</x:v>
      </x:c>
      <x:c r="D18" s="6" t="str">
        <x:v>ttm</x:v>
      </x:c>
      <x:c r="E18" s="2"/>
      <x:c r="F18" s="2"/>
      <x:c r="G18" s="2"/>
      <x:c r="H18" s="7" t="n">
        <x:f>SUM(G19:G21)</x:f>
        <x:v>81935358000000</x:v>
      </x:c>
      <x:c r="I18" s="11" t="str">
        <x:v>Prior annual + current YTD - prior comparable YTD / https://www.idx.id/Portals/0/StaticData/ListedCompanies/Corporate_Actions/New_Info_JSX/Jenis_Informasi/01_Laporan_Keuangan/02_Soft_Copy_Laporan_Keuangan//Laporan%20Keuangan%20Tahun%202026/TW2/BMRI/instance.zip</x:v>
      </x:c>
    </x:row>
    <x:row r="19" ht="44" customHeight="1">
      <x:c r="A19" s="2"/>
      <x:c r="B19" s="2"/>
      <x:c r="C19" s="2"/>
      <x:c r="D19" s="11" t="str">
        <x:v>ProfitLossBeforeIncomeTax / CurrentYearDuration</x:v>
      </x:c>
      <x:c r="E19" s="2" t="n">
        <x:v>76417563000000</x:v>
      </x:c>
      <x:c r="F19" s="2" t="n">
        <x:v>1</x:v>
      </x:c>
      <x:c r="G19" s="7" t="n">
        <x:f>E19*F19</x:f>
        <x:v>76417563000000</x:v>
      </x:c>
      <x:c r="H19" s="2"/>
      <x:c r="I19" s="2"/>
    </x:row>
    <x:row r="20" ht="44" customHeight="1">
      <x:c r="A20" s="2"/>
      <x:c r="B20" s="2"/>
      <x:c r="C20" s="2"/>
      <x:c r="D20" s="11" t="str">
        <x:v>ProfitLossBeforeIncomeTax / CurrentYearDuration</x:v>
      </x:c>
      <x:c r="E20" s="2" t="n">
        <x:v>39041168000000</x:v>
      </x:c>
      <x:c r="F20" s="2" t="n">
        <x:v>1</x:v>
      </x:c>
      <x:c r="G20" s="7" t="n">
        <x:f>E20*F20</x:f>
        <x:v>39041168000000</x:v>
      </x:c>
      <x:c r="H20" s="2"/>
      <x:c r="I20" s="2"/>
    </x:row>
    <x:row r="21" ht="44" customHeight="1">
      <x:c r="A21" s="2"/>
      <x:c r="B21" s="2"/>
      <x:c r="C21" s="2"/>
      <x:c r="D21" s="11" t="str">
        <x:v>ProfitLossBeforeIncomeTax / PriorYearDuration</x:v>
      </x:c>
      <x:c r="E21" s="2" t="n">
        <x:v>33523373000000</x:v>
      </x:c>
      <x:c r="F21" s="2" t="n">
        <x:v>-1</x:v>
      </x:c>
      <x:c r="G21" s="7" t="n">
        <x:f>E21*F21</x:f>
        <x:v>-33523373000000</x:v>
      </x:c>
      <x:c r="H21" s="2"/>
      <x:c r="I21" s="2"/>
    </x:row>
    <x:row r="22" ht="160" customHeight="1">
      <x:c r="A22" s="6" t="str">
        <x:v>interestIncome</x:v>
      </x:c>
      <x:c r="B22" s="6" t="str">
        <x:v>2026-06-30</x:v>
      </x:c>
      <x:c r="C22" s="6" t="str">
        <x:v>IDR</x:v>
      </x:c>
      <x:c r="D22" s="6" t="str">
        <x:v>ttm</x:v>
      </x:c>
      <x:c r="E22" s="2"/>
      <x:c r="F22" s="2"/>
      <x:c r="G22" s="2"/>
      <x:c r="H22" s="7" t="n">
        <x:f>SUM(G23:G25)</x:f>
        <x:v>155731526000000</x:v>
      </x:c>
      <x:c r="I22" s="11" t="str">
        <x:v>Prior annual + current YTD - prior comparable YTD / https://www.idx.id/Portals/0/StaticData/ListedCompanies/Corporate_Actions/New_Info_JSX/Jenis_Informasi/01_Laporan_Keuangan/02_Soft_Copy_Laporan_Keuangan//Laporan%20Keuangan%20Tahun%202026/TW2/BMRI/instance.zip</x:v>
      </x:c>
    </x:row>
    <x:row r="23" ht="31" customHeight="1">
      <x:c r="A23" s="2"/>
      <x:c r="B23" s="2"/>
      <x:c r="C23" s="2"/>
      <x:c r="D23" s="11" t="str">
        <x:v>InterestIncome / CurrentYearDuration</x:v>
      </x:c>
      <x:c r="E23" s="2" t="n">
        <x:v>164412466000000</x:v>
      </x:c>
      <x:c r="F23" s="2" t="n">
        <x:v>1</x:v>
      </x:c>
      <x:c r="G23" s="7" t="n">
        <x:f>E23*F23</x:f>
        <x:v>164412466000000</x:v>
      </x:c>
      <x:c r="H23" s="2"/>
      <x:c r="I23" s="2"/>
    </x:row>
    <x:row r="24" ht="31" customHeight="1">
      <x:c r="A24" s="2"/>
      <x:c r="B24" s="2"/>
      <x:c r="C24" s="2"/>
      <x:c r="D24" s="11" t="str">
        <x:v>InterestIncome / CurrentYearDuration</x:v>
      </x:c>
      <x:c r="E24" s="2" t="n">
        <x:v>72895403000000</x:v>
      </x:c>
      <x:c r="F24" s="2" t="n">
        <x:v>1</x:v>
      </x:c>
      <x:c r="G24" s="7" t="n">
        <x:f>E24*F24</x:f>
        <x:v>72895403000000</x:v>
      </x:c>
      <x:c r="H24" s="2"/>
      <x:c r="I24" s="2"/>
    </x:row>
    <x:row r="25" ht="31" customHeight="1">
      <x:c r="A25" s="2"/>
      <x:c r="B25" s="2"/>
      <x:c r="C25" s="2"/>
      <x:c r="D25" s="11" t="str">
        <x:v>InterestIncome / PriorYearDuration</x:v>
      </x:c>
      <x:c r="E25" s="2" t="n">
        <x:v>81576343000000</x:v>
      </x:c>
      <x:c r="F25" s="2" t="n">
        <x:v>-1</x:v>
      </x:c>
      <x:c r="G25" s="7" t="n">
        <x:f>E25*F25</x:f>
        <x:v>-81576343000000</x:v>
      </x:c>
      <x:c r="H25" s="2"/>
      <x:c r="I25" s="2"/>
    </x:row>
    <x:row r="26" ht="160" customHeight="1">
      <x:c r="A26" s="6" t="str">
        <x:v>interestExpense</x:v>
      </x:c>
      <x:c r="B26" s="6" t="str">
        <x:v>2026-06-30</x:v>
      </x:c>
      <x:c r="C26" s="6" t="str">
        <x:v>IDR</x:v>
      </x:c>
      <x:c r="D26" s="6" t="str">
        <x:v>ttm</x:v>
      </x:c>
      <x:c r="E26" s="2"/>
      <x:c r="F26" s="2"/>
      <x:c r="G26" s="2"/>
      <x:c r="H26" s="7" t="n">
        <x:f>SUM(G27:G29)</x:f>
        <x:v>54065955000000</x:v>
      </x:c>
      <x:c r="I26" s="11" t="str">
        <x:v>Prior annual + current YTD - prior comparable YTD / https://www.idx.id/Portals/0/StaticData/ListedCompanies/Corporate_Actions/New_Info_JSX/Jenis_Informasi/01_Laporan_Keuangan/02_Soft_Copy_Laporan_Keuangan//Laporan%20Keuangan%20Tahun%202026/TW2/BMRI/instance.zip</x:v>
      </x:c>
    </x:row>
    <x:row r="27" ht="31" customHeight="1">
      <x:c r="A27" s="2"/>
      <x:c r="B27" s="2"/>
      <x:c r="C27" s="2"/>
      <x:c r="D27" s="11" t="str">
        <x:v>InterestExpenses / CurrentYearDuration</x:v>
      </x:c>
      <x:c r="E27" s="2" t="n">
        <x:v>58202431000000</x:v>
      </x:c>
      <x:c r="F27" s="2" t="n">
        <x:v>1</x:v>
      </x:c>
      <x:c r="G27" s="7" t="n">
        <x:f>E27*F27</x:f>
        <x:v>58202431000000</x:v>
      </x:c>
      <x:c r="H27" s="2"/>
      <x:c r="I27" s="2"/>
    </x:row>
    <x:row r="28" ht="31" customHeight="1">
      <x:c r="A28" s="2"/>
      <x:c r="B28" s="2"/>
      <x:c r="C28" s="2"/>
      <x:c r="D28" s="11" t="str">
        <x:v>InterestExpenses / CurrentYearDuration</x:v>
      </x:c>
      <x:c r="E28" s="2" t="n">
        <x:v>25056230000000</x:v>
      </x:c>
      <x:c r="F28" s="2" t="n">
        <x:v>1</x:v>
      </x:c>
      <x:c r="G28" s="7" t="n">
        <x:f>E28*F28</x:f>
        <x:v>25056230000000</x:v>
      </x:c>
      <x:c r="H28" s="2"/>
      <x:c r="I28" s="2"/>
    </x:row>
    <x:row r="29" ht="31" customHeight="1">
      <x:c r="A29" s="2"/>
      <x:c r="B29" s="2"/>
      <x:c r="C29" s="2"/>
      <x:c r="D29" s="11" t="str">
        <x:v>InterestExpenses / PriorYearDuration</x:v>
      </x:c>
      <x:c r="E29" s="2" t="n">
        <x:v>29192706000000</x:v>
      </x:c>
      <x:c r="F29" s="2" t="n">
        <x:v>-1</x:v>
      </x:c>
      <x:c r="G29" s="7" t="n">
        <x:f>E29*F29</x:f>
        <x:v>-29192706000000</x:v>
      </x:c>
      <x:c r="H29" s="2"/>
      <x:c r="I29" s="2"/>
    </x:row>
    <x:row r="30" ht="160" customHeight="1">
      <x:c r="A30" s="6" t="str">
        <x:v>netInterestIncome</x:v>
      </x:c>
      <x:c r="B30" s="6" t="str">
        <x:v>2026-06-30</x:v>
      </x:c>
      <x:c r="C30" s="6" t="str">
        <x:v>IDR</x:v>
      </x:c>
      <x:c r="D30" s="6" t="str">
        <x:v>ttm</x:v>
      </x:c>
      <x:c r="E30" s="2"/>
      <x:c r="F30" s="2"/>
      <x:c r="G30" s="2"/>
      <x:c r="H30" s="7" t="n">
        <x:f>SUM(G31:G33)</x:f>
        <x:v>155731526000000</x:v>
      </x:c>
      <x:c r="I30" s="11" t="str">
        <x:v>Prior annual + current YTD - prior comparable YTD / https://www.idx.id/Portals/0/StaticData/ListedCompanies/Corporate_Actions/New_Info_JSX/Jenis_Informasi/01_Laporan_Keuangan/02_Soft_Copy_Laporan_Keuangan//Laporan%20Keuangan%20Tahun%202026/TW2/BMRI/instance.zip</x:v>
      </x:c>
    </x:row>
    <x:row r="31" ht="31" customHeight="1">
      <x:c r="A31" s="2"/>
      <x:c r="B31" s="2"/>
      <x:c r="C31" s="2"/>
      <x:c r="D31" s="11" t="str">
        <x:v>InterestIncome / CurrentYearDuration</x:v>
      </x:c>
      <x:c r="E31" s="2" t="n">
        <x:v>164412466000000</x:v>
      </x:c>
      <x:c r="F31" s="2" t="n">
        <x:v>1</x:v>
      </x:c>
      <x:c r="G31" s="7" t="n">
        <x:f>E31*F31</x:f>
        <x:v>164412466000000</x:v>
      </x:c>
      <x:c r="H31" s="2"/>
      <x:c r="I31" s="2"/>
    </x:row>
    <x:row r="32" ht="31" customHeight="1">
      <x:c r="A32" s="2"/>
      <x:c r="B32" s="2"/>
      <x:c r="C32" s="2"/>
      <x:c r="D32" s="11" t="str">
        <x:v>InterestIncome / CurrentYearDuration</x:v>
      </x:c>
      <x:c r="E32" s="2" t="n">
        <x:v>72895403000000</x:v>
      </x:c>
      <x:c r="F32" s="2" t="n">
        <x:v>1</x:v>
      </x:c>
      <x:c r="G32" s="7" t="n">
        <x:f>E32*F32</x:f>
        <x:v>72895403000000</x:v>
      </x:c>
      <x:c r="H32" s="2"/>
      <x:c r="I32" s="2"/>
    </x:row>
    <x:row r="33" ht="31" customHeight="1">
      <x:c r="A33" s="2"/>
      <x:c r="B33" s="2"/>
      <x:c r="C33" s="2"/>
      <x:c r="D33" s="11" t="str">
        <x:v>InterestIncome / PriorYearDuration</x:v>
      </x:c>
      <x:c r="E33" s="2" t="n">
        <x:v>81576343000000</x:v>
      </x:c>
      <x:c r="F33" s="2" t="n">
        <x:v>-1</x:v>
      </x:c>
      <x:c r="G33" s="7" t="n">
        <x:f>E33*F33</x:f>
        <x:v>-81576343000000</x:v>
      </x:c>
      <x:c r="H33" s="2"/>
      <x:c r="I33" s="2"/>
    </x:row>
    <x:row r="34" ht="160" customHeight="1">
      <x:c r="A34" s="6" t="str">
        <x:v>revenue</x:v>
      </x:c>
      <x:c r="B34" s="6" t="str">
        <x:v>2026-06-30</x:v>
      </x:c>
      <x:c r="C34" s="6" t="str">
        <x:v>IDR</x:v>
      </x:c>
      <x:c r="D34" s="6" t="str">
        <x:v>ttm</x:v>
      </x:c>
      <x:c r="E34" s="2"/>
      <x:c r="F34" s="2"/>
      <x:c r="G34" s="2"/>
      <x:c r="H34" s="7" t="n">
        <x:f>SUM(G35:G37)</x:f>
        <x:v>155731526000000</x:v>
      </x:c>
      <x:c r="I34" s="11" t="str">
        <x:v>Prior annual + current YTD - prior comparable YTD / https://www.idx.id/Portals/0/StaticData/ListedCompanies/Corporate_Actions/New_Info_JSX/Jenis_Informasi/01_Laporan_Keuangan/02_Soft_Copy_Laporan_Keuangan//Laporan%20Keuangan%20Tahun%202026/TW2/BMRI/instance.zip</x:v>
      </x:c>
    </x:row>
    <x:row r="35" ht="31" customHeight="1">
      <x:c r="A35" s="2"/>
      <x:c r="B35" s="2"/>
      <x:c r="C35" s="2"/>
      <x:c r="D35" s="11" t="str">
        <x:v>InterestIncome / CurrentYearDuration</x:v>
      </x:c>
      <x:c r="E35" s="2" t="n">
        <x:v>164412466000000</x:v>
      </x:c>
      <x:c r="F35" s="2" t="n">
        <x:v>1</x:v>
      </x:c>
      <x:c r="G35" s="7" t="n">
        <x:f>E35*F35</x:f>
        <x:v>164412466000000</x:v>
      </x:c>
      <x:c r="H35" s="2"/>
      <x:c r="I35" s="2"/>
    </x:row>
    <x:row r="36" ht="31" customHeight="1">
      <x:c r="A36" s="2"/>
      <x:c r="B36" s="2"/>
      <x:c r="C36" s="2"/>
      <x:c r="D36" s="11" t="str">
        <x:v>InterestIncome / CurrentYearDuration</x:v>
      </x:c>
      <x:c r="E36" s="2" t="n">
        <x:v>72895403000000</x:v>
      </x:c>
      <x:c r="F36" s="2" t="n">
        <x:v>1</x:v>
      </x:c>
      <x:c r="G36" s="7" t="n">
        <x:f>E36*F36</x:f>
        <x:v>72895403000000</x:v>
      </x:c>
      <x:c r="H36" s="2"/>
      <x:c r="I36" s="2"/>
    </x:row>
    <x:row r="37" ht="31" customHeight="1">
      <x:c r="A37" s="2"/>
      <x:c r="B37" s="2"/>
      <x:c r="C37" s="2"/>
      <x:c r="D37" s="11" t="str">
        <x:v>InterestIncome / PriorYearDuration</x:v>
      </x:c>
      <x:c r="E37" s="2" t="n">
        <x:v>81576343000000</x:v>
      </x:c>
      <x:c r="F37" s="2" t="n">
        <x:v>-1</x:v>
      </x:c>
      <x:c r="G37" s="7" t="n">
        <x:f>E37*F37</x:f>
        <x:v>-81576343000000</x:v>
      </x:c>
      <x:c r="H37" s="2"/>
      <x:c r="I37" s="2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</x:cols>
  <x:sheetData>
    <x:row r="1" ht="23" customHeight="1">
      <x:c r="A1" s="5" t="str">
        <x:v>Period</x:v>
      </x:c>
      <x:c r="B1" s="5" t="str">
        <x:v>Basis</x:v>
      </x:c>
      <x:c r="C1" s="5" t="str">
        <x:v>Revenue</x:v>
      </x:c>
      <x:c r="D1" s="5" t="str">
        <x:v>Operating profit / EBIT</x:v>
      </x:c>
      <x:c r="E1" s="5" t="str">
        <x:v>Parent profit</x:v>
      </x:c>
      <x:c r="F1" s="5" t="str">
        <x:v>Assets</x:v>
      </x:c>
      <x:c r="G1" s="5" t="str">
        <x:v>Liabilities</x:v>
      </x:c>
      <x:c r="H1" s="5" t="str">
        <x:v>Parent equity</x:v>
      </x:c>
      <x:c r="I1" s="5" t="str">
        <x:v>Total debt</x:v>
      </x:c>
      <x:c r="J1" s="5" t="str">
        <x:v>Disclosed borrowing subtotal</x:v>
      </x:c>
      <x:c r="K1" s="5" t="str">
        <x:v>Operating cash flow</x:v>
      </x:c>
      <x:c r="L1" s="5" t="str">
        <x:v>Full D&amp;A</x:v>
      </x:c>
      <x:c r="M1" s="5" t="str">
        <x:v>PPE purchases</x:v>
      </x:c>
      <x:c r="N1" s="5" t="str">
        <x:v>Intangible purchases</x:v>
      </x:c>
    </x:row>
    <x:row r="2" ht="23" customHeight="1">
      <x:c r="A2" s="6" t="str">
        <x:v>2022-12-31</x:v>
      </x:c>
      <x:c r="B2" s="6" t="str">
        <x:v>ANNUAL</x:v>
      </x:c>
      <x:c r="C2" s="2" t="n">
        <x:v>115633.384</x:v>
      </x:c>
      <x:c r="D2" s="2"/>
      <x:c r="E2" s="2" t="n">
        <x:v>41170.637</x:v>
      </x:c>
      <x:c r="F2" s="2" t="n">
        <x:v>1992544.687</x:v>
      </x:c>
      <x:c r="G2" s="2"/>
      <x:c r="H2" s="2" t="n">
        <x:v>229678.786</x:v>
      </x:c>
      <x:c r="I2" s="2"/>
      <x:c r="J2" s="2"/>
      <x:c r="K2" s="2" t="n">
        <x:v>99975.305</x:v>
      </x:c>
      <x:c r="L2" s="2"/>
      <x:c r="M2" s="2"/>
      <x:c r="N2" s="2"/>
    </x:row>
    <x:row r="3" ht="23" customHeight="1">
      <x:c r="A3" s="6" t="str">
        <x:v>2023-12-31</x:v>
      </x:c>
      <x:c r="B3" s="6" t="str">
        <x:v>ANNUAL</x:v>
      </x:c>
      <x:c r="C3" s="2" t="n">
        <x:v>124193.814</x:v>
      </x:c>
      <x:c r="D3" s="2"/>
      <x:c r="E3" s="2" t="n">
        <x:v>55060.057</x:v>
      </x:c>
      <x:c r="F3" s="2" t="n">
        <x:v>2174219.449</x:v>
      </x:c>
      <x:c r="G3" s="2"/>
      <x:c r="H3" s="2" t="n">
        <x:v>260852.784</x:v>
      </x:c>
      <x:c r="I3" s="2"/>
      <x:c r="J3" s="2"/>
      <x:c r="K3" s="2" t="n">
        <x:v>-69803.958</x:v>
      </x:c>
      <x:c r="L3" s="2"/>
      <x:c r="M3" s="2"/>
      <x:c r="N3" s="2"/>
    </x:row>
    <x:row r="4" ht="23" customHeight="1">
      <x:c r="A4" s="6" t="str">
        <x:v>2024-12-31</x:v>
      </x:c>
      <x:c r="B4" s="6" t="str">
        <x:v>ANNUAL</x:v>
      </x:c>
      <x:c r="C4" s="2" t="n">
        <x:v>134799.086</x:v>
      </x:c>
      <x:c r="D4" s="2" t="n">
        <x:v>76059.595</x:v>
      </x:c>
      <x:c r="E4" s="2" t="n">
        <x:v>55782.742000000006</x:v>
      </x:c>
      <x:c r="F4" s="2" t="n">
        <x:v>2427223.262</x:v>
      </x:c>
      <x:c r="G4" s="2" t="n">
        <x:v>1860408.316</x:v>
      </x:c>
      <x:c r="H4" s="2" t="n">
        <x:v>283796.429</x:v>
      </x:c>
      <x:c r="I4" s="2"/>
      <x:c r="J4" s="2"/>
      <x:c r="K4" s="2" t="n">
        <x:v>-26186.927000000003</x:v>
      </x:c>
      <x:c r="L4" s="2"/>
      <x:c r="M4" s="2"/>
      <x:c r="N4" s="2"/>
    </x:row>
    <x:row r="5" ht="23" customHeight="1">
      <x:c r="A5" s="6" t="str">
        <x:v>2025-12-31</x:v>
      </x:c>
      <x:c r="B5" s="6" t="str">
        <x:v>ANNUAL</x:v>
      </x:c>
      <x:c r="C5" s="2" t="n">
        <x:v>140173.049</x:v>
      </x:c>
      <x:c r="D5" s="2" t="n">
        <x:v>76310.739</x:v>
      </x:c>
      <x:c r="E5" s="2" t="n">
        <x:v>56293.950000000004</x:v>
      </x:c>
      <x:c r="F5" s="2" t="n">
        <x:v>2829948.026</x:v>
      </x:c>
      <x:c r="G5" s="2" t="n">
        <x:v>2212925.204</x:v>
      </x:c>
      <x:c r="H5" s="2" t="n">
        <x:v>293750.669</x:v>
      </x:c>
      <x:c r="I5" s="2" t="n">
        <x:v>218797.19400000002</x:v>
      </x:c>
      <x:c r="J5" s="2"/>
      <x:c r="K5" s="2" t="n">
        <x:v>154183.60400000002</x:v>
      </x:c>
      <x:c r="L5" s="2"/>
      <x:c r="M5" s="2"/>
      <x:c r="N5" s="2"/>
    </x:row>
    <x:row r="6" ht="23" customHeight="1">
      <x:c r="A6" s="6" t="str">
        <x:v>2026-06-30</x:v>
      </x:c>
      <x:c r="B6" s="6" t="str">
        <x:v>TTM</x:v>
      </x:c>
      <x:c r="C6" s="2" t="n">
        <x:v>101665.57100000001</x:v>
      </x:c>
      <x:c r="D6" s="2" t="n">
        <x:v>81930.697</x:v>
      </x:c>
      <x:c r="E6" s="2" t="n">
        <x:v>62251.187000000005</x:v>
      </x:c>
      <x:c r="F6" s="2" t="n">
        <x:v>2527568.193</x:v>
      </x:c>
      <x:c r="G6" s="2" t="n">
        <x:v>2234544.953</x:v>
      </x:c>
      <x:c r="H6" s="2" t="n">
        <x:v>284593.401</x:v>
      </x:c>
      <x:c r="I6" s="2"/>
      <x:c r="J6" s="2"/>
      <x:c r="K6" s="2" t="n">
        <x:v>43205.477000000006</x:v>
      </x:c>
      <x:c r="L6" s="2"/>
      <x:c r="M6" s="2"/>
      <x:c r="N6" s="2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3" hidden="0" customWidth="1"/>
    <x:col min="3" max="3" width="23" hidden="0" customWidth="1"/>
    <x:col min="4" max="4" width="23" hidden="0" customWidth="1"/>
  </x:cols>
  <x:sheetData>
    <x:row r="1" ht="23" customHeight="1">
      <x:c r="A1" s="5" t="str">
        <x:v>currency</x:v>
      </x:c>
      <x:c r="B1" s="5" t="str">
        <x:v>date</x:v>
      </x:c>
      <x:c r="C1" s="5" t="str">
        <x:v>rate</x:v>
      </x:c>
      <x:c r="D1" s="5" t="str">
        <x:v>source</x:v>
      </x:c>
    </x:row>
    <x:row r="2" ht="23" customHeight="1">
      <x:c r="A2" s="6" t="str">
        <x:v>IDR</x:v>
      </x:c>
      <x:c r="B2" s="6" t="str">
        <x:v>2025-12-31</x:v>
      </x:c>
      <x:c r="C2" s="2" t="n">
        <x:v>1</x:v>
      </x:c>
      <x:c r="D2" s="6" t="str">
        <x:v>IDR / IDR</x:v>
      </x:c>
    </x:row>
    <x:row r="3" ht="23" customHeight="1">
      <x:c r="A3" s="6" t="str">
        <x:v>IDR</x:v>
      </x:c>
      <x:c r="B3" s="6" t="str">
        <x:v>2022-12-31</x:v>
      </x:c>
      <x:c r="C3" s="2" t="n">
        <x:v>1</x:v>
      </x:c>
      <x:c r="D3" s="6" t="str">
        <x:v>IDR / IDR</x:v>
      </x:c>
    </x:row>
    <x:row r="4" ht="23" customHeight="1">
      <x:c r="A4" s="6" t="str">
        <x:v>IDR</x:v>
      </x:c>
      <x:c r="B4" s="6" t="str">
        <x:v>2023-12-31</x:v>
      </x:c>
      <x:c r="C4" s="2" t="n">
        <x:v>1</x:v>
      </x:c>
      <x:c r="D4" s="6" t="str">
        <x:v>IDR / IDR</x:v>
      </x:c>
    </x:row>
    <x:row r="5" ht="23" customHeight="1">
      <x:c r="A5" s="6" t="str">
        <x:v>IDR</x:v>
      </x:c>
      <x:c r="B5" s="6" t="str">
        <x:v>2024-12-31</x:v>
      </x:c>
      <x:c r="C5" s="2" t="n">
        <x:v>1</x:v>
      </x:c>
      <x:c r="D5" s="6" t="str">
        <x:v>IDR / IDR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3" hidden="0" customWidth="1"/>
  </x:cols>
  <x:sheetData>
    <x:row r="1" ht="23" customHeight="1">
      <x:c r="A1" s="5" t="str">
        <x:v>Field</x:v>
      </x:c>
      <x:c r="B1" s="5" t="str">
        <x:v>Value</x:v>
      </x:c>
    </x:row>
    <x:row r="2" ht="23" customHeight="1">
      <x:c r="A2" s="6" t="str">
        <x:v>industry</x:v>
      </x:c>
      <x:c r="B2" s="6" t="str">
        <x:v>Bank</x:v>
      </x:c>
    </x:row>
    <x:row r="3" ht="23" customHeight="1">
      <x:c r="A3" s="6" t="str">
        <x:v>subIndustry</x:v>
      </x:c>
      <x:c r="B3" s="6" t="str">
        <x:v>Bank</x:v>
      </x:c>
    </x:row>
    <x:row r="4" ht="23" customHeight="1">
      <x:c r="A4" s="6" t="str">
        <x:v>periodBasis</x:v>
      </x:c>
      <x:c r="B4" s="6" t="str">
        <x:v>TTM</x:v>
      </x:c>
    </x:row>
    <x:row r="5" ht="23" customHeight="1">
      <x:c r="A5" s="6" t="str">
        <x:v>providerPeriod</x:v>
      </x:c>
      <x:c r="B5" s="6" t="str">
        <x:v>2025-12-31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3" customHeight="1">
      <x:c r="A1" s="5" t="str">
        <x:v>Field</x:v>
      </x:c>
      <x:c r="B1" s="5" t="str">
        <x:v>Component period</x:v>
      </x:c>
      <x:c r="C1" s="5" t="str">
        <x:v>Native amount</x:v>
      </x:c>
      <x:c r="D1" s="5" t="str">
        <x:v>Currency</x:v>
      </x:c>
      <x:c r="E1" s="5" t="str">
        <x:v>Unit</x:v>
      </x:c>
      <x:c r="F1" s="5" t="str">
        <x:v>Source</x:v>
      </x:c>
      <x:c r="G1" s="5" t="str">
        <x:v>Locator</x:v>
      </x:c>
    </x:row>
    <x:row r="2" ht="148" customHeight="1">
      <x:c r="A2" s="6" t="str">
        <x:v>ebit</x:v>
      </x:c>
      <x:c r="B2" s="6" t="str">
        <x:v>2025-12-31</x:v>
      </x:c>
      <x:c r="C2" s="2" t="n">
        <x:v>76310739000000</x:v>
      </x:c>
      <x:c r="D2" s="6" t="str">
        <x:v>IDR</x:v>
      </x:c>
      <x:c r="E2" s="6" t="str">
        <x:v>units</x:v>
      </x:c>
      <x:c r="F2" s="11" t="str">
        <x:v>https://www.idx.id/Portals/0/StaticData/ListedCompanies/Corporate_Actions/New_Info_JSX/Jenis_Informasi/01_Laporan_Keuangan/02_Soft_Copy_Laporan_Keuangan//Laporan%20Keuangan%20Tahun%202025/Audit/BMRI/instance.zip</x:v>
      </x:c>
      <x:c r="G2" s="11" t="str">
        <x:v>ProfitFromOperation / CurrentYearDuration</x:v>
      </x:c>
    </x:row>
    <x:row r="3" ht="135" customHeight="1">
      <x:c r="A3" s="6" t="str">
        <x:v>ebit</x:v>
      </x:c>
      <x:c r="B3" s="6" t="str">
        <x:v>2026-06-30</x:v>
      </x:c>
      <x:c r="C3" s="2" t="n">
        <x:v>39062791000000</x:v>
      </x:c>
      <x:c r="D3" s="6" t="str">
        <x:v>IDR</x:v>
      </x:c>
      <x:c r="E3" s="6" t="str">
        <x:v>units</x:v>
      </x:c>
      <x:c r="F3" s="11" t="str">
        <x:v>https://www.idx.id/Portals/0/StaticData/ListedCompanies/Corporate_Actions/New_Info_JSX/Jenis_Informasi/01_Laporan_Keuangan/02_Soft_Copy_Laporan_Keuangan//Laporan%20Keuangan%20Tahun%202026/TW2/BMRI/instance.zip</x:v>
      </x:c>
      <x:c r="G3" s="11" t="str">
        <x:v>ProfitFromOperation / CurrentYearDuration</x:v>
      </x:c>
    </x:row>
    <x:row r="4" ht="135" customHeight="1">
      <x:c r="A4" s="6" t="str">
        <x:v>ebit</x:v>
      </x:c>
      <x:c r="B4" s="6" t="str">
        <x:v>2025-06-30</x:v>
      </x:c>
      <x:c r="C4" s="2" t="n">
        <x:v>33442833000000</x:v>
      </x:c>
      <x:c r="D4" s="6" t="str">
        <x:v>IDR</x:v>
      </x:c>
      <x:c r="E4" s="6" t="str">
        <x:v>units</x:v>
      </x:c>
      <x:c r="F4" s="11" t="str">
        <x:v>https://www.idx.id/Portals/0/StaticData/ListedCompanies/Corporate_Actions/New_Info_JSX/Jenis_Informasi/01_Laporan_Keuangan/02_Soft_Copy_Laporan_Keuangan//Laporan%20Keuangan%20Tahun%202026/TW2/BMRI/instance.zip</x:v>
      </x:c>
      <x:c r="G4" s="11" t="str">
        <x:v>ProfitFromOperation / PriorYearDuration</x:v>
      </x:c>
    </x:row>
    <x:row r="5" ht="148" customHeight="1">
      <x:c r="A5" s="6" t="str">
        <x:v>netIncome</x:v>
      </x:c>
      <x:c r="B5" s="6" t="str">
        <x:v>2025-12-31</x:v>
      </x:c>
      <x:c r="C5" s="2" t="n">
        <x:v>56293950000000</x:v>
      </x:c>
      <x:c r="D5" s="6" t="str">
        <x:v>IDR</x:v>
      </x:c>
      <x:c r="E5" s="6" t="str">
        <x:v>units</x:v>
      </x:c>
      <x:c r="F5" s="11" t="str">
        <x:v>https://www.idx.id/Portals/0/StaticData/ListedCompanies/Corporate_Actions/New_Info_JSX/Jenis_Informasi/01_Laporan_Keuangan/02_Soft_Copy_Laporan_Keuangan//Laporan%20Keuangan%20Tahun%202025/Audit/BMRI/instance.zip</x:v>
      </x:c>
      <x:c r="G5" s="11" t="str">
        <x:v>ProfitLossAttributableToParentEntity / CurrentYearDuration</x:v>
      </x:c>
    </x:row>
    <x:row r="6" ht="135" customHeight="1">
      <x:c r="A6" s="6" t="str">
        <x:v>netIncome</x:v>
      </x:c>
      <x:c r="B6" s="6" t="str">
        <x:v>2026-06-30</x:v>
      </x:c>
      <x:c r="C6" s="2" t="n">
        <x:v>30412319000000</x:v>
      </x:c>
      <x:c r="D6" s="6" t="str">
        <x:v>IDR</x:v>
      </x:c>
      <x:c r="E6" s="6" t="str">
        <x:v>units</x:v>
      </x:c>
      <x:c r="F6" s="11" t="str">
        <x:v>https://www.idx.id/Portals/0/StaticData/ListedCompanies/Corporate_Actions/New_Info_JSX/Jenis_Informasi/01_Laporan_Keuangan/02_Soft_Copy_Laporan_Keuangan//Laporan%20Keuangan%20Tahun%202026/TW2/BMRI/instance.zip</x:v>
      </x:c>
      <x:c r="G6" s="11" t="str">
        <x:v>ProfitLossAttributableToParentEntity / CurrentYearDuration</x:v>
      </x:c>
    </x:row>
    <x:row r="7" ht="135" customHeight="1">
      <x:c r="A7" s="6" t="str">
        <x:v>netIncome</x:v>
      </x:c>
      <x:c r="B7" s="6" t="str">
        <x:v>2025-06-30</x:v>
      </x:c>
      <x:c r="C7" s="2" t="n">
        <x:v>24455082000000</x:v>
      </x:c>
      <x:c r="D7" s="6" t="str">
        <x:v>IDR</x:v>
      </x:c>
      <x:c r="E7" s="6" t="str">
        <x:v>units</x:v>
      </x:c>
      <x:c r="F7" s="11" t="str">
        <x:v>https://www.idx.id/Portals/0/StaticData/ListedCompanies/Corporate_Actions/New_Info_JSX/Jenis_Informasi/01_Laporan_Keuangan/02_Soft_Copy_Laporan_Keuangan//Laporan%20Keuangan%20Tahun%202026/TW2/BMRI/instance.zip</x:v>
      </x:c>
      <x:c r="G7" s="11" t="str">
        <x:v>ProfitLossAttributableToParentEntity / PriorYearDuration</x:v>
      </x:c>
    </x:row>
    <x:row r="8" ht="148" customHeight="1">
      <x:c r="A8" s="6" t="str">
        <x:v>ocf</x:v>
      </x:c>
      <x:c r="B8" s="6" t="str">
        <x:v>2025-12-31</x:v>
      </x:c>
      <x:c r="C8" s="2" t="n">
        <x:v>154183604000000</x:v>
      </x:c>
      <x:c r="D8" s="6" t="str">
        <x:v>IDR</x:v>
      </x:c>
      <x:c r="E8" s="6" t="str">
        <x:v>units</x:v>
      </x:c>
      <x:c r="F8" s="11" t="str">
        <x:v>https://www.idx.id/Portals/0/StaticData/ListedCompanies/Corporate_Actions/New_Info_JSX/Jenis_Informasi/01_Laporan_Keuangan/02_Soft_Copy_Laporan_Keuangan//Laporan%20Keuangan%20Tahun%202025/Audit/BMRI/instance.zip</x:v>
      </x:c>
      <x:c r="G8" s="11" t="str">
        <x:v>NetCashFlowsReceivedFromUsedInOperatingActivities / CurrentYearDuration</x:v>
      </x:c>
    </x:row>
    <x:row r="9" ht="135" customHeight="1">
      <x:c r="A9" s="6" t="str">
        <x:v>ocf</x:v>
      </x:c>
      <x:c r="B9" s="6" t="str">
        <x:v>2026-06-30</x:v>
      </x:c>
      <x:c r="C9" s="2" t="n">
        <x:v>-51810849000000</x:v>
      </x:c>
      <x:c r="D9" s="6" t="str">
        <x:v>IDR</x:v>
      </x:c>
      <x:c r="E9" s="6" t="str">
        <x:v>units</x:v>
      </x:c>
      <x:c r="F9" s="11" t="str">
        <x:v>https://www.idx.id/Portals/0/StaticData/ListedCompanies/Corporate_Actions/New_Info_JSX/Jenis_Informasi/01_Laporan_Keuangan/02_Soft_Copy_Laporan_Keuangan//Laporan%20Keuangan%20Tahun%202026/TW2/BMRI/instance.zip</x:v>
      </x:c>
      <x:c r="G9" s="11" t="str">
        <x:v>NetCashFlowsReceivedFromUsedInOperatingActivities / CurrentYearDuration</x:v>
      </x:c>
    </x:row>
    <x:row r="10" ht="135" customHeight="1">
      <x:c r="A10" s="6" t="str">
        <x:v>ocf</x:v>
      </x:c>
      <x:c r="B10" s="6" t="str">
        <x:v>2025-06-30</x:v>
      </x:c>
      <x:c r="C10" s="2" t="n">
        <x:v>59167278000000</x:v>
      </x:c>
      <x:c r="D10" s="6" t="str">
        <x:v>IDR</x:v>
      </x:c>
      <x:c r="E10" s="6" t="str">
        <x:v>units</x:v>
      </x:c>
      <x:c r="F10" s="11" t="str">
        <x:v>https://www.idx.id/Portals/0/StaticData/ListedCompanies/Corporate_Actions/New_Info_JSX/Jenis_Informasi/01_Laporan_Keuangan/02_Soft_Copy_Laporan_Keuangan//Laporan%20Keuangan%20Tahun%202026/TW2/BMRI/instance.zip</x:v>
      </x:c>
      <x:c r="G10" s="11" t="str">
        <x:v>NetCashFlowsReceivedFromUsedInOperatingActivities / PriorYearDuration</x:v>
      </x:c>
    </x:row>
    <x:row r="11" ht="148" customHeight="1">
      <x:c r="A11" s="6" t="str">
        <x:v>netInterestIncome</x:v>
      </x:c>
      <x:c r="B11" s="6" t="str">
        <x:v>2025-12-31</x:v>
      </x:c>
      <x:c r="C11" s="2" t="n">
        <x:v>106210035000000</x:v>
      </x:c>
      <x:c r="D11" s="6" t="str">
        <x:v>IDR</x:v>
      </x:c>
      <x:c r="E11" s="6" t="str">
        <x:v>units</x:v>
      </x:c>
      <x:c r="F11" s="11" t="str">
        <x:v>https://www.idx.id/Portals/0/StaticData/ListedCompanies/Corporate_Actions/New_Info_JSX/Jenis_Informasi/01_Laporan_Keuangan/02_Soft_Copy_Laporan_Keuangan//Laporan%20Keuangan%20Tahun%202025/Audit/BMRI/instance.zip</x:v>
      </x:c>
      <x:c r="G11" s="11" t="str">
        <x:v>Reported interest income less reported interest expense</x:v>
      </x:c>
    </x:row>
    <x:row r="12" ht="135" customHeight="1">
      <x:c r="A12" s="6" t="str">
        <x:v>netInterestIncome</x:v>
      </x:c>
      <x:c r="B12" s="6" t="str">
        <x:v>2026-06-30</x:v>
      </x:c>
      <x:c r="C12" s="2" t="n">
        <x:v>47839173000000</x:v>
      </x:c>
      <x:c r="D12" s="6" t="str">
        <x:v>IDR</x:v>
      </x:c>
      <x:c r="E12" s="6" t="str">
        <x:v>units</x:v>
      </x:c>
      <x:c r="F12" s="11" t="str">
        <x:v>https://www.idx.id/Portals/0/StaticData/ListedCompanies/Corporate_Actions/New_Info_JSX/Jenis_Informasi/01_Laporan_Keuangan/02_Soft_Copy_Laporan_Keuangan//Laporan%20Keuangan%20Tahun%202026/TW2/BMRI/instance.zip</x:v>
      </x:c>
      <x:c r="G12" s="11" t="str">
        <x:v>Reported interest income less reported interest expense</x:v>
      </x:c>
    </x:row>
    <x:row r="13" ht="135" customHeight="1">
      <x:c r="A13" s="6" t="str">
        <x:v>netInterestIncome</x:v>
      </x:c>
      <x:c r="B13" s="6" t="str">
        <x:v>2025-06-30</x:v>
      </x:c>
      <x:c r="C13" s="2" t="n">
        <x:v>52383637000000</x:v>
      </x:c>
      <x:c r="D13" s="6" t="str">
        <x:v>IDR</x:v>
      </x:c>
      <x:c r="E13" s="6" t="str">
        <x:v>units</x:v>
      </x:c>
      <x:c r="F13" s="11" t="str">
        <x:v>https://www.idx.id/Portals/0/StaticData/ListedCompanies/Corporate_Actions/New_Info_JSX/Jenis_Informasi/01_Laporan_Keuangan/02_Soft_Copy_Laporan_Keuangan//Laporan%20Keuangan%20Tahun%202026/TW2/BMRI/instance.zip</x:v>
      </x:c>
      <x:c r="G13" s="11" t="str">
        <x:v>Reported interest income less reported interest expense</x:v>
      </x:c>
    </x:row>
    <x:row r="14" ht="148" customHeight="1">
      <x:c r="A14" s="6" t="str">
        <x:v>pretaxProfit</x:v>
      </x:c>
      <x:c r="B14" s="6" t="str">
        <x:v>2025-12-31</x:v>
      </x:c>
      <x:c r="C14" s="2" t="n">
        <x:v>76417563000000</x:v>
      </x:c>
      <x:c r="D14" s="6" t="str">
        <x:v>IDR</x:v>
      </x:c>
      <x:c r="E14" s="6" t="str">
        <x:v>units</x:v>
      </x:c>
      <x:c r="F14" s="11" t="str">
        <x:v>https://www.idx.id/Portals/0/StaticData/ListedCompanies/Corporate_Actions/New_Info_JSX/Jenis_Informasi/01_Laporan_Keuangan/02_Soft_Copy_Laporan_Keuangan//Laporan%20Keuangan%20Tahun%202025/Audit/BMRI/instance.zip</x:v>
      </x:c>
      <x:c r="G14" s="11" t="str">
        <x:v>ProfitLossBeforeIncomeTax / CurrentYearDuration</x:v>
      </x:c>
    </x:row>
    <x:row r="15" ht="135" customHeight="1">
      <x:c r="A15" s="6" t="str">
        <x:v>pretaxProfit</x:v>
      </x:c>
      <x:c r="B15" s="6" t="str">
        <x:v>2026-06-30</x:v>
      </x:c>
      <x:c r="C15" s="2" t="n">
        <x:v>39041168000000</x:v>
      </x:c>
      <x:c r="D15" s="6" t="str">
        <x:v>IDR</x:v>
      </x:c>
      <x:c r="E15" s="6" t="str">
        <x:v>units</x:v>
      </x:c>
      <x:c r="F15" s="11" t="str">
        <x:v>https://www.idx.id/Portals/0/StaticData/ListedCompanies/Corporate_Actions/New_Info_JSX/Jenis_Informasi/01_Laporan_Keuangan/02_Soft_Copy_Laporan_Keuangan//Laporan%20Keuangan%20Tahun%202026/TW2/BMRI/instance.zip</x:v>
      </x:c>
      <x:c r="G15" s="11" t="str">
        <x:v>ProfitLossBeforeIncomeTax / CurrentYearDuration</x:v>
      </x:c>
    </x:row>
    <x:row r="16" ht="135" customHeight="1">
      <x:c r="A16" s="6" t="str">
        <x:v>pretaxProfit</x:v>
      </x:c>
      <x:c r="B16" s="6" t="str">
        <x:v>2025-06-30</x:v>
      </x:c>
      <x:c r="C16" s="2" t="n">
        <x:v>33523373000000</x:v>
      </x:c>
      <x:c r="D16" s="6" t="str">
        <x:v>IDR</x:v>
      </x:c>
      <x:c r="E16" s="6" t="str">
        <x:v>units</x:v>
      </x:c>
      <x:c r="F16" s="11" t="str">
        <x:v>https://www.idx.id/Portals/0/StaticData/ListedCompanies/Corporate_Actions/New_Info_JSX/Jenis_Informasi/01_Laporan_Keuangan/02_Soft_Copy_Laporan_Keuangan//Laporan%20Keuangan%20Tahun%202026/TW2/BMRI/instance.zip</x:v>
      </x:c>
      <x:c r="G16" s="11" t="str">
        <x:v>ProfitLossBeforeIncomeTax / PriorYearDuration</x:v>
      </x:c>
    </x:row>
    <x:row r="17" ht="148" customHeight="1">
      <x:c r="A17" s="6" t="str">
        <x:v>interestIncome</x:v>
      </x:c>
      <x:c r="B17" s="6" t="str">
        <x:v>2025-12-31</x:v>
      </x:c>
      <x:c r="C17" s="2" t="n">
        <x:v>164412466000000</x:v>
      </x:c>
      <x:c r="D17" s="6" t="str">
        <x:v>IDR</x:v>
      </x:c>
      <x:c r="E17" s="6" t="str">
        <x:v>units</x:v>
      </x:c>
      <x:c r="F17" s="11" t="str">
        <x:v>https://www.idx.id/Portals/0/StaticData/ListedCompanies/Corporate_Actions/New_Info_JSX/Jenis_Informasi/01_Laporan_Keuangan/02_Soft_Copy_Laporan_Keuangan//Laporan%20Keuangan%20Tahun%202025/Audit/BMRI/instance.zip</x:v>
      </x:c>
      <x:c r="G17" s="11" t="str">
        <x:v>InterestIncome / CurrentYearDuration</x:v>
      </x:c>
    </x:row>
    <x:row r="18" ht="135" customHeight="1">
      <x:c r="A18" s="6" t="str">
        <x:v>interestIncome</x:v>
      </x:c>
      <x:c r="B18" s="6" t="str">
        <x:v>2026-06-30</x:v>
      </x:c>
      <x:c r="C18" s="2" t="n">
        <x:v>72895403000000</x:v>
      </x:c>
      <x:c r="D18" s="6" t="str">
        <x:v>IDR</x:v>
      </x:c>
      <x:c r="E18" s="6" t="str">
        <x:v>units</x:v>
      </x:c>
      <x:c r="F18" s="11" t="str">
        <x:v>https://www.idx.id/Portals/0/StaticData/ListedCompanies/Corporate_Actions/New_Info_JSX/Jenis_Informasi/01_Laporan_Keuangan/02_Soft_Copy_Laporan_Keuangan//Laporan%20Keuangan%20Tahun%202026/TW2/BMRI/instance.zip</x:v>
      </x:c>
      <x:c r="G18" s="11" t="str">
        <x:v>InterestIncome / CurrentYearDuration</x:v>
      </x:c>
    </x:row>
    <x:row r="19" ht="135" customHeight="1">
      <x:c r="A19" s="6" t="str">
        <x:v>interestIncome</x:v>
      </x:c>
      <x:c r="B19" s="6" t="str">
        <x:v>2025-06-30</x:v>
      </x:c>
      <x:c r="C19" s="2" t="n">
        <x:v>81576343000000</x:v>
      </x:c>
      <x:c r="D19" s="6" t="str">
        <x:v>IDR</x:v>
      </x:c>
      <x:c r="E19" s="6" t="str">
        <x:v>units</x:v>
      </x:c>
      <x:c r="F19" s="11" t="str">
        <x:v>https://www.idx.id/Portals/0/StaticData/ListedCompanies/Corporate_Actions/New_Info_JSX/Jenis_Informasi/01_Laporan_Keuangan/02_Soft_Copy_Laporan_Keuangan//Laporan%20Keuangan%20Tahun%202026/TW2/BMRI/instance.zip</x:v>
      </x:c>
      <x:c r="G19" s="11" t="str">
        <x:v>InterestIncome / PriorYearDuration</x:v>
      </x:c>
    </x:row>
    <x:row r="20" ht="148" customHeight="1">
      <x:c r="A20" s="6" t="str">
        <x:v>interestExpense</x:v>
      </x:c>
      <x:c r="B20" s="6" t="str">
        <x:v>2025-12-31</x:v>
      </x:c>
      <x:c r="C20" s="2" t="n">
        <x:v>58202431000000</x:v>
      </x:c>
      <x:c r="D20" s="6" t="str">
        <x:v>IDR</x:v>
      </x:c>
      <x:c r="E20" s="6" t="str">
        <x:v>units</x:v>
      </x:c>
      <x:c r="F20" s="11" t="str">
        <x:v>https://www.idx.id/Portals/0/StaticData/ListedCompanies/Corporate_Actions/New_Info_JSX/Jenis_Informasi/01_Laporan_Keuangan/02_Soft_Copy_Laporan_Keuangan//Laporan%20Keuangan%20Tahun%202025/Audit/BMRI/instance.zip</x:v>
      </x:c>
      <x:c r="G20" s="11" t="str">
        <x:v>InterestExpenses / CurrentYearDuration</x:v>
      </x:c>
    </x:row>
    <x:row r="21" ht="135" customHeight="1">
      <x:c r="A21" s="6" t="str">
        <x:v>interestExpense</x:v>
      </x:c>
      <x:c r="B21" s="6" t="str">
        <x:v>2026-06-30</x:v>
      </x:c>
      <x:c r="C21" s="2" t="n">
        <x:v>25056230000000</x:v>
      </x:c>
      <x:c r="D21" s="6" t="str">
        <x:v>IDR</x:v>
      </x:c>
      <x:c r="E21" s="6" t="str">
        <x:v>units</x:v>
      </x:c>
      <x:c r="F21" s="11" t="str">
        <x:v>https://www.idx.id/Portals/0/StaticData/ListedCompanies/Corporate_Actions/New_Info_JSX/Jenis_Informasi/01_Laporan_Keuangan/02_Soft_Copy_Laporan_Keuangan//Laporan%20Keuangan%20Tahun%202026/TW2/BMRI/instance.zip</x:v>
      </x:c>
      <x:c r="G21" s="11" t="str">
        <x:v>InterestExpenses / CurrentYearDuration</x:v>
      </x:c>
    </x:row>
    <x:row r="22" ht="135" customHeight="1">
      <x:c r="A22" s="6" t="str">
        <x:v>interestExpense</x:v>
      </x:c>
      <x:c r="B22" s="6" t="str">
        <x:v>2025-06-30</x:v>
      </x:c>
      <x:c r="C22" s="2" t="n">
        <x:v>29192706000000</x:v>
      </x:c>
      <x:c r="D22" s="6" t="str">
        <x:v>IDR</x:v>
      </x:c>
      <x:c r="E22" s="6" t="str">
        <x:v>units</x:v>
      </x:c>
      <x:c r="F22" s="11" t="str">
        <x:v>https://www.idx.id/Portals/0/StaticData/ListedCompanies/Corporate_Actions/New_Info_JSX/Jenis_Informasi/01_Laporan_Keuangan/02_Soft_Copy_Laporan_Keuangan//Laporan%20Keuangan%20Tahun%202026/TW2/BMRI/instance.zip</x:v>
      </x:c>
      <x:c r="G22" s="11" t="str">
        <x:v>InterestExpenses / PriorYearDuration</x:v>
      </x:c>
    </x:row>
    <x:row r="23" ht="148" customHeight="1">
      <x:c r="A23" s="6" t="str">
        <x:v>netInterestIncome</x:v>
      </x:c>
      <x:c r="B23" s="6" t="str">
        <x:v>2025-12-31</x:v>
      </x:c>
      <x:c r="C23" s="2" t="n">
        <x:v>164412466000000</x:v>
      </x:c>
      <x:c r="D23" s="6" t="str">
        <x:v>IDR</x:v>
      </x:c>
      <x:c r="E23" s="6" t="str">
        <x:v>units</x:v>
      </x:c>
      <x:c r="F23" s="11" t="str">
        <x:v>https://www.idx.id/Portals/0/StaticData/ListedCompanies/Corporate_Actions/New_Info_JSX/Jenis_Informasi/01_Laporan_Keuangan/02_Soft_Copy_Laporan_Keuangan//Laporan%20Keuangan%20Tahun%202025/Audit/BMRI/instance.zip</x:v>
      </x:c>
      <x:c r="G23" s="11" t="str">
        <x:v>InterestIncome / CurrentYearDuration</x:v>
      </x:c>
    </x:row>
    <x:row r="24" ht="135" customHeight="1">
      <x:c r="A24" s="6" t="str">
        <x:v>netInterestIncome</x:v>
      </x:c>
      <x:c r="B24" s="6" t="str">
        <x:v>2026-06-30</x:v>
      </x:c>
      <x:c r="C24" s="2" t="n">
        <x:v>72895403000000</x:v>
      </x:c>
      <x:c r="D24" s="6" t="str">
        <x:v>IDR</x:v>
      </x:c>
      <x:c r="E24" s="6" t="str">
        <x:v>units</x:v>
      </x:c>
      <x:c r="F24" s="11" t="str">
        <x:v>https://www.idx.id/Portals/0/StaticData/ListedCompanies/Corporate_Actions/New_Info_JSX/Jenis_Informasi/01_Laporan_Keuangan/02_Soft_Copy_Laporan_Keuangan//Laporan%20Keuangan%20Tahun%202026/TW2/BMRI/instance.zip</x:v>
      </x:c>
      <x:c r="G24" s="11" t="str">
        <x:v>InterestIncome / CurrentYearDuration</x:v>
      </x:c>
    </x:row>
    <x:row r="25" ht="135" customHeight="1">
      <x:c r="A25" s="6" t="str">
        <x:v>netInterestIncome</x:v>
      </x:c>
      <x:c r="B25" s="6" t="str">
        <x:v>2025-06-30</x:v>
      </x:c>
      <x:c r="C25" s="2" t="n">
        <x:v>81576343000000</x:v>
      </x:c>
      <x:c r="D25" s="6" t="str">
        <x:v>IDR</x:v>
      </x:c>
      <x:c r="E25" s="6" t="str">
        <x:v>units</x:v>
      </x:c>
      <x:c r="F25" s="11" t="str">
        <x:v>https://www.idx.id/Portals/0/StaticData/ListedCompanies/Corporate_Actions/New_Info_JSX/Jenis_Informasi/01_Laporan_Keuangan/02_Soft_Copy_Laporan_Keuangan//Laporan%20Keuangan%20Tahun%202026/TW2/BMRI/instance.zip</x:v>
      </x:c>
      <x:c r="G25" s="11" t="str">
        <x:v>InterestIncome / PriorYearDuration</x:v>
      </x:c>
    </x:row>
    <x:row r="26" ht="148" customHeight="1">
      <x:c r="A26" s="6" t="str">
        <x:v>revenue</x:v>
      </x:c>
      <x:c r="B26" s="6" t="str">
        <x:v>2025-12-31</x:v>
      </x:c>
      <x:c r="C26" s="2" t="n">
        <x:v>164412466000000</x:v>
      </x:c>
      <x:c r="D26" s="6" t="str">
        <x:v>IDR</x:v>
      </x:c>
      <x:c r="E26" s="6" t="str">
        <x:v>units</x:v>
      </x:c>
      <x:c r="F26" s="11" t="str">
        <x:v>https://www.idx.id/Portals/0/StaticData/ListedCompanies/Corporate_Actions/New_Info_JSX/Jenis_Informasi/01_Laporan_Keuangan/02_Soft_Copy_Laporan_Keuangan//Laporan%20Keuangan%20Tahun%202025/Audit/BMRI/instance.zip</x:v>
      </x:c>
      <x:c r="G26" s="11" t="str">
        <x:v>InterestIncome / CurrentYearDuration</x:v>
      </x:c>
    </x:row>
    <x:row r="27" ht="135" customHeight="1">
      <x:c r="A27" s="6" t="str">
        <x:v>revenue</x:v>
      </x:c>
      <x:c r="B27" s="6" t="str">
        <x:v>2026-06-30</x:v>
      </x:c>
      <x:c r="C27" s="2" t="n">
        <x:v>72895403000000</x:v>
      </x:c>
      <x:c r="D27" s="6" t="str">
        <x:v>IDR</x:v>
      </x:c>
      <x:c r="E27" s="6" t="str">
        <x:v>units</x:v>
      </x:c>
      <x:c r="F27" s="11" t="str">
        <x:v>https://www.idx.id/Portals/0/StaticData/ListedCompanies/Corporate_Actions/New_Info_JSX/Jenis_Informasi/01_Laporan_Keuangan/02_Soft_Copy_Laporan_Keuangan//Laporan%20Keuangan%20Tahun%202026/TW2/BMRI/instance.zip</x:v>
      </x:c>
      <x:c r="G27" s="11" t="str">
        <x:v>InterestIncome / CurrentYearDuration</x:v>
      </x:c>
    </x:row>
    <x:row r="28" ht="135" customHeight="1">
      <x:c r="A28" s="6" t="str">
        <x:v>revenue</x:v>
      </x:c>
      <x:c r="B28" s="6" t="str">
        <x:v>2025-06-30</x:v>
      </x:c>
      <x:c r="C28" s="2" t="n">
        <x:v>81576343000000</x:v>
      </x:c>
      <x:c r="D28" s="6" t="str">
        <x:v>IDR</x:v>
      </x:c>
      <x:c r="E28" s="6" t="str">
        <x:v>units</x:v>
      </x:c>
      <x:c r="F28" s="11" t="str">
        <x:v>https://www.idx.id/Portals/0/StaticData/ListedCompanies/Corporate_Actions/New_Info_JSX/Jenis_Informasi/01_Laporan_Keuangan/02_Soft_Copy_Laporan_Keuangan//Laporan%20Keuangan%20Tahun%202026/TW2/BMRI/instance.zip</x:v>
      </x:c>
      <x:c r="G28" s="11" t="str">
        <x:v>InterestIncome / PriorYearDuration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31" customHeight="1">
      <x:c r="A1" s="18" t="str">
        <x:v>METHOD-SPECIFIC SENSITIVITY / IDR PER SHARE</x:v>
      </x:c>
      <x:c r="B1" s="4"/>
      <x:c r="C1" s="4"/>
      <x:c r="D1" s="4"/>
      <x:c r="E1" s="4"/>
      <x:c r="F1" s="4"/>
    </x:row>
    <x:row r="2" ht="23" customHeight="1">
      <x:c r="A2" s="6" t="str">
        <x:v>Method</x:v>
      </x:c>
      <x:c r="B2" s="6" t="str">
        <x:v>core</x:v>
      </x:c>
      <x:c r="C2" s="2"/>
      <x:c r="D2" s="2"/>
      <x:c r="E2" s="2"/>
      <x:c r="F2" s="2"/>
    </x:row>
    <x:row r="3" ht="23" customHeight="1">
      <x:c r="A3" s="6" t="str">
        <x:v>Intrinsic weight</x:v>
      </x:c>
      <x:c r="B3" s="7" t="n">
        <x:f>Summary!B9</x:f>
        <x:v>0.5</x:v>
      </x:c>
      <x:c r="C3" s="2"/>
      <x:c r="D3" s="2"/>
      <x:c r="E3" s="2"/>
      <x:c r="F3" s="2"/>
    </x:row>
    <x:row r="4" ht="23" customHeight="1">
      <x:c r="A4" s="6" t="str">
        <x:v>ROE denominator</x:v>
      </x:c>
      <x:c r="B4" s="2"/>
      <x:c r="C4" s="2"/>
      <x:c r="D4" s="2"/>
      <x:c r="E4" s="2"/>
      <x:c r="F4" s="2"/>
    </x:row>
    <x:row r="5" ht="23" customHeight="1">
      <x:c r="A5" s="6" t="str">
        <x:v>Starting ROE</x:v>
      </x:c>
      <x:c r="B5" s="2"/>
      <x:c r="C5" s="2"/>
      <x:c r="D5" s="2"/>
      <x:c r="E5" s="2"/>
      <x:c r="F5" s="2"/>
    </x:row>
    <x:row r="6" ht="23" customHeight="1">
      <x:c r="A6" s="6" t="str">
        <x:v>Cost of equity</x:v>
      </x:c>
      <x:c r="B6" s="7" t="n">
        <x:f>Assumptions!B9+Assumptions!B10*Assumptions!B11</x:f>
        <x:v>0.1235</x:v>
      </x:c>
      <x:c r="C6" s="2"/>
      <x:c r="D6" s="2"/>
      <x:c r="E6" s="2"/>
      <x:c r="F6" s="2"/>
    </x:row>
    <x:row r="7" ht="23" customHeight="1">
      <x:c r="A7" s="6" t="str">
        <x:v>Payout</x:v>
      </x:c>
      <x:c r="B7" s="7" t="n">
        <x:f>Assumptions!B15</x:f>
        <x:v>0.65</x:v>
      </x:c>
      <x:c r="C7" s="2"/>
      <x:c r="D7" s="2"/>
      <x:c r="E7" s="2"/>
      <x:c r="F7" s="2"/>
    </x:row>
    <x:row r="8" ht="109" customHeight="1">
      <x:c r="A8" s="6" t="str">
        <x:v>Scope</x:v>
      </x:c>
      <x:c r="B8" s="11" t="str">
        <x:v>Blended fair value in IDR/share. Intrinsic discount rate and terminal growth vary; method weights and relative value are fixed. Unsupported combinations are omitted.</x:v>
      </x:c>
      <x:c r="C8" s="2"/>
      <x:c r="D8" s="2"/>
      <x:c r="E8" s="2"/>
      <x:c r="F8" s="2"/>
    </x:row>
    <x:row r="9" ht="23" customHeight="1">
      <x:c r="A9" s="11" t="str">
        <x:v>Cost of equity / Terminal growth</x:v>
      </x:c>
      <x:c r="B9" s="7" t="n">
        <x:f>Assumptions!B13+-0.01</x:f>
        <x:v>0.025</x:v>
      </x:c>
      <x:c r="C9" s="7" t="n">
        <x:f>Assumptions!B13+-0.005</x:f>
        <x:v>0.030000000000000002</x:v>
      </x:c>
      <x:c r="D9" s="7" t="n">
        <x:f>Assumptions!B13+0</x:f>
        <x:v>0.035</x:v>
      </x:c>
      <x:c r="E9" s="7" t="n">
        <x:f>Assumptions!B13+0.005</x:f>
        <x:v>0.04</x:v>
      </x:c>
      <x:c r="F9" s="7" t="n">
        <x:f>Assumptions!B13+0.01</x:f>
        <x:v>0.045000000000000005</x:v>
      </x:c>
    </x:row>
    <x:row r="10" ht="23" customHeight="1">
      <x:c r="A10" s="7" t="n">
        <x:f>Forecast!$B$24+-0.01</x:f>
        <x:v>0.1135</x:v>
      </x:c>
      <x:c r="B10" s="7" t="n">
        <x:f>IF(OR(B$9&lt;0,B$9&gt;=Forecast!$B$26,$A10&lt;=B$9+0.005),"",$B$3*MAX(0,(Forecast!B15/(1+$A10)^1+Forecast!C15/(1+$A10)^2+Forecast!D15/(1+$A10)^3+Forecast!E15/(1+$A10)^4+Forecast!F15/(1+$A10)^5+Forecast!F13*(1+B$9)*(1-B$9/Forecast!$B$26)/($A10-B$9)/(1+$A10)^5)/Inputs!B12)+(1-$B$3)*(((Relative!B3*(1)*Inputs!B15*(1))/Inputs!B12+(Relative!B4*(1)*Inputs!B17*(1))/Inputs!B12)/2))</x:f>
        <x:v>5545.046036009615</x:v>
      </x:c>
      <x:c r="C10" s="7" t="n">
        <x:f>IF(OR(C$9&lt;0,C$9&gt;=Forecast!$B$26,$A10&lt;=C$9+0.005),"",$B$3*MAX(0,(Forecast!B15/(1+$A10)^1+Forecast!C15/(1+$A10)^2+Forecast!D15/(1+$A10)^3+Forecast!E15/(1+$A10)^4+Forecast!F15/(1+$A10)^5+Forecast!F13*(1+C$9)*(1-C$9/Forecast!$B$26)/($A10-C$9)/(1+$A10)^5)/Inputs!B12)+(1-$B$3)*(((Relative!B3*(1)*Inputs!B15*(1))/Inputs!B12+(Relative!B4*(1)*Inputs!B17*(1))/Inputs!B12)/2))</x:f>
        <x:v>5610.937231089694</x:v>
      </x:c>
      <x:c r="D10" s="7" t="n">
        <x:f>IF(OR(D$9&lt;0,D$9&gt;=Forecast!$B$26,$A10&lt;=D$9+0.005),"",$B$3*MAX(0,(Forecast!B15/(1+$A10)^1+Forecast!C15/(1+$A10)^2+Forecast!D15/(1+$A10)^3+Forecast!E15/(1+$A10)^4+Forecast!F15/(1+$A10)^5+Forecast!F13*(1+D$9)*(1-D$9/Forecast!$B$26)/($A10-D$9)/(1+$A10)^5)/Inputs!B12)+(1-$B$3)*(((Relative!B3*(1)*Inputs!B15*(1))/Inputs!B12+(Relative!B4*(1)*Inputs!B17*(1))/Inputs!B12)/2))</x:f>
        <x:v>5684.173863919092</x:v>
      </x:c>
      <x:c r="E10" s="7" t="n">
        <x:f>IF(OR(E$9&lt;0,E$9&gt;=Forecast!$B$26,$A10&lt;=E$9+0.005),"",$B$3*MAX(0,(Forecast!B15/(1+$A10)^1+Forecast!C15/(1+$A10)^2+Forecast!D15/(1+$A10)^3+Forecast!E15/(1+$A10)^4+Forecast!F15/(1+$A10)^5+Forecast!F13*(1+E$9)*(1-E$9/Forecast!$B$26)/($A10-E$9)/(1+$A10)^5)/Inputs!B12)+(1-$B$3)*(((Relative!B3*(1)*Inputs!B15*(1))/Inputs!B12+(Relative!B4*(1)*Inputs!B17*(1))/Inputs!B12)/2))</x:f>
        <x:v>5766.25500342624</x:v>
      </x:c>
      <x:c r="F10" s="7" t="n">
        <x:f>IF(OR(F$9&lt;0,F$9&gt;=Forecast!$B$26,$A10&lt;=F$9+0.005),"",$B$3*MAX(0,(Forecast!B15/(1+$A10)^1+Forecast!C15/(1+$A10)^2+Forecast!D15/(1+$A10)^3+Forecast!E15/(1+$A10)^4+Forecast!F15/(1+$A10)^5+Forecast!F13*(1+F$9)*(1-F$9/Forecast!$B$26)/($A10-F$9)/(1+$A10)^5)/Inputs!B12)+(1-$B$3)*(((Relative!B3*(1)*Inputs!B15*(1))/Inputs!B12+(Relative!B4*(1)*Inputs!B17*(1))/Inputs!B12)/2))</x:f>
        <x:v>5859.117402898239</x:v>
      </x:c>
    </x:row>
    <x:row r="11" ht="23" customHeight="1">
      <x:c r="A11" s="7" t="n">
        <x:f>Forecast!$B$24+-0.005</x:f>
        <x:v>0.1185</x:v>
      </x:c>
      <x:c r="B11" s="7" t="n">
        <x:f>IF(OR(B$9&lt;0,B$9&gt;=Forecast!$B$26,$A11&lt;=B$9+0.005),"",$B$3*MAX(0,(Forecast!B15/(1+$A11)^1+Forecast!C15/(1+$A11)^2+Forecast!D15/(1+$A11)^3+Forecast!E15/(1+$A11)^4+Forecast!F15/(1+$A11)^5+Forecast!F13*(1+B$9)*(1-B$9/Forecast!$B$26)/($A11-B$9)/(1+$A11)^5)/Inputs!B12)+(1-$B$3)*(((Relative!B3*(1)*Inputs!B15*(1))/Inputs!B12+(Relative!B4*(1)*Inputs!B17*(1))/Inputs!B12)/2))</x:f>
        <x:v>5341.2583586045</x:v>
      </x:c>
      <x:c r="C11" s="7" t="n">
        <x:f>IF(OR(C$9&lt;0,C$9&gt;=Forecast!$B$26,$A11&lt;=C$9+0.005),"",$B$3*MAX(0,(Forecast!B15/(1+$A11)^1+Forecast!C15/(1+$A11)^2+Forecast!D15/(1+$A11)^3+Forecast!E15/(1+$A11)^4+Forecast!F15/(1+$A11)^5+Forecast!F13*(1+C$9)*(1-C$9/Forecast!$B$26)/($A11-C$9)/(1+$A11)^5)/Inputs!B12)+(1-$B$3)*(((Relative!B3*(1)*Inputs!B15*(1))/Inputs!B12+(Relative!B4*(1)*Inputs!B17*(1))/Inputs!B12)/2))</x:f>
        <x:v>5394.446886419458</x:v>
      </x:c>
      <x:c r="D11" s="7" t="n">
        <x:f>IF(OR(D$9&lt;0,D$9&gt;=Forecast!$B$26,$A11&lt;=D$9+0.005),"",$B$3*MAX(0,(Forecast!B15/(1+$A11)^1+Forecast!C15/(1+$A11)^2+Forecast!D15/(1+$A11)^3+Forecast!E15/(1+$A11)^4+Forecast!F15/(1+$A11)^5+Forecast!F13*(1+D$9)*(1-D$9/Forecast!$B$26)/($A11-D$9)/(1+$A11)^5)/Inputs!B12)+(1-$B$3)*(((Relative!B3*(1)*Inputs!B15*(1))/Inputs!B12+(Relative!B4*(1)*Inputs!B17*(1))/Inputs!B12)/2))</x:f>
        <x:v>5453.0415606550705</x:v>
      </x:c>
      <x:c r="E11" s="7" t="n">
        <x:f>IF(OR(E$9&lt;0,E$9&gt;=Forecast!$B$26,$A11&lt;=E$9+0.005),"",$B$3*MAX(0,(Forecast!B15/(1+$A11)^1+Forecast!C15/(1+$A11)^2+Forecast!D15/(1+$A11)^3+Forecast!E15/(1+$A11)^4+Forecast!F15/(1+$A11)^5+Forecast!F13*(1+E$9)*(1-E$9/Forecast!$B$26)/($A11-E$9)/(1+$A11)^5)/Inputs!B12)+(1-$B$3)*(((Relative!B3*(1)*Inputs!B15*(1))/Inputs!B12+(Relative!B4*(1)*Inputs!B17*(1))/Inputs!B12)/2))</x:f>
        <x:v>5518.075402920382</x:v>
      </x:c>
      <x:c r="F11" s="7" t="n">
        <x:f>IF(OR(F$9&lt;0,F$9&gt;=Forecast!$B$26,$A11&lt;=F$9+0.005),"",$B$3*MAX(0,(Forecast!B15/(1+$A11)^1+Forecast!C15/(1+$A11)^2+Forecast!D15/(1+$A11)^3+Forecast!E15/(1+$A11)^4+Forecast!F15/(1+$A11)^5+Forecast!F13*(1+F$9)*(1-F$9/Forecast!$B$26)/($A11-F$9)/(1+$A11)^5)/Inputs!B12)+(1-$B$3)*(((Relative!B3*(1)*Inputs!B15*(1))/Inputs!B12+(Relative!B4*(1)*Inputs!B17*(1))/Inputs!B12)/2))</x:f>
        <x:v>5590.862529139819</x:v>
      </x:c>
    </x:row>
    <x:row r="12" ht="23" customHeight="1">
      <x:c r="A12" s="7" t="n">
        <x:f>Forecast!$B$24+0</x:f>
        <x:v>0.1235</x:v>
      </x:c>
      <x:c r="B12" s="7" t="n">
        <x:f>IF(OR(B$9&lt;0,B$9&gt;=Forecast!$B$26,$A12&lt;=B$9+0.005),"",$B$3*MAX(0,(Forecast!B15/(1+$A12)^1+Forecast!C15/(1+$A12)^2+Forecast!D15/(1+$A12)^3+Forecast!E15/(1+$A12)^4+Forecast!F15/(1+$A12)^5+Forecast!F13*(1+B$9)*(1-B$9/Forecast!$B$26)/($A12-B$9)/(1+$A12)^5)/Inputs!B12)+(1-$B$3)*(((Relative!B3*(1)*Inputs!B15*(1))/Inputs!B12+(Relative!B4*(1)*Inputs!B17*(1))/Inputs!B12)/2))</x:f>
        <x:v>5158.52335788876</x:v>
      </x:c>
      <x:c r="C12" s="7" t="n">
        <x:f>IF(OR(C$9&lt;0,C$9&gt;=Forecast!$B$26,$A12&lt;=C$9+0.005),"",$B$3*MAX(0,(Forecast!B15/(1+$A12)^1+Forecast!C15/(1+$A12)^2+Forecast!D15/(1+$A12)^3+Forecast!E15/(1+$A12)^4+Forecast!F15/(1+$A12)^5+Forecast!F13*(1+C$9)*(1-C$9/Forecast!$B$26)/($A12-C$9)/(1+$A12)^5)/Inputs!B12)+(1-$B$3)*(((Relative!B3*(1)*Inputs!B15*(1))/Inputs!B12+(Relative!B4*(1)*Inputs!B17*(1))/Inputs!B12)/2))</x:f>
        <x:v>5201.434184553173</x:v>
      </x:c>
      <x:c r="D12" s="7" t="n">
        <x:f>IF(OR(D$9&lt;0,D$9&gt;=Forecast!$B$26,$A12&lt;=D$9+0.005),"",$B$3*MAX(0,(Forecast!B15/(1+$A12)^1+Forecast!C15/(1+$A12)^2+Forecast!D15/(1+$A12)^3+Forecast!E15/(1+$A12)^4+Forecast!F15/(1+$A12)^5+Forecast!F13*(1+D$9)*(1-D$9/Forecast!$B$26)/($A12-D$9)/(1+$A12)^5)/Inputs!B12)+(1-$B$3)*(((Relative!B3*(1)*Inputs!B15*(1))/Inputs!B12+(Relative!B4*(1)*Inputs!B17*(1))/Inputs!B12)/2))</x:f>
        <x:v>5248.304457574288</x:v>
      </x:c>
      <x:c r="E12" s="7" t="n">
        <x:f>IF(OR(E$9&lt;0,E$9&gt;=Forecast!$B$26,$A12&lt;=E$9+0.005),"",$B$3*MAX(0,(Forecast!B15/(1+$A12)^1+Forecast!C15/(1+$A12)^2+Forecast!D15/(1+$A12)^3+Forecast!E15/(1+$A12)^4+Forecast!F15/(1+$A12)^5+Forecast!F13*(1+E$9)*(1-E$9/Forecast!$B$26)/($A12-E$9)/(1+$A12)^5)/Inputs!B12)+(1-$B$3)*(((Relative!B3*(1)*Inputs!B15*(1))/Inputs!B12+(Relative!B4*(1)*Inputs!B17*(1))/Inputs!B12)/2))</x:f>
        <x:v>5299.84545474074</x:v>
      </x:c>
      <x:c r="F12" s="7" t="n">
        <x:f>IF(OR(F$9&lt;0,F$9&gt;=Forecast!$B$26,$A12&lt;=F$9+0.005),"",$B$3*MAX(0,(Forecast!B15/(1+$A12)^1+Forecast!C15/(1+$A12)^2+Forecast!D15/(1+$A12)^3+Forecast!E15/(1+$A12)^4+Forecast!F15/(1+$A12)^5+Forecast!F13*(1+F$9)*(1-F$9/Forecast!$B$26)/($A12-F$9)/(1+$A12)^5)/Inputs!B12)+(1-$B$3)*(((Relative!B3*(1)*Inputs!B15*(1))/Inputs!B12+(Relative!B4*(1)*Inputs!B17*(1))/Inputs!B12)/2))</x:f>
        <x:v>5356.949671112143</x:v>
      </x:c>
    </x:row>
    <x:row r="13" ht="23" customHeight="1">
      <x:c r="A13" s="7" t="n">
        <x:f>Forecast!$B$24+0.005</x:f>
        <x:v>0.1285</x:v>
      </x:c>
      <x:c r="B13" s="7" t="n">
        <x:f>IF(OR(B$9&lt;0,B$9&gt;=Forecast!$B$26,$A13&lt;=B$9+0.005),"",$B$3*MAX(0,(Forecast!B15/(1+$A13)^1+Forecast!C15/(1+$A13)^2+Forecast!D15/(1+$A13)^3+Forecast!E15/(1+$A13)^4+Forecast!F15/(1+$A13)^5+Forecast!F13*(1+B$9)*(1-B$9/Forecast!$B$26)/($A13-B$9)/(1+$A13)^5)/Inputs!B12)+(1-$B$3)*(((Relative!B3*(1)*Inputs!B15*(1))/Inputs!B12+(Relative!B4*(1)*Inputs!B17*(1))/Inputs!B12)/2))</x:f>
        <x:v>4993.779672548978</x:v>
      </x:c>
      <x:c r="C13" s="7" t="n">
        <x:f>IF(OR(C$9&lt;0,C$9&gt;=Forecast!$B$26,$A13&lt;=C$9+0.005),"",$B$3*MAX(0,(Forecast!B15/(1+$A13)^1+Forecast!C15/(1+$A13)^2+Forecast!D15/(1+$A13)^3+Forecast!E15/(1+$A13)^4+Forecast!F15/(1+$A13)^5+Forecast!F13*(1+C$9)*(1-C$9/Forecast!$B$26)/($A13-C$9)/(1+$A13)^5)/Inputs!B12)+(1-$B$3)*(((Relative!B3*(1)*Inputs!B15*(1))/Inputs!B12+(Relative!B4*(1)*Inputs!B17*(1))/Inputs!B12)/2))</x:f>
        <x:v>5028.314756611109</x:v>
      </x:c>
      <x:c r="D13" s="7" t="n">
        <x:f>IF(OR(D$9&lt;0,D$9&gt;=Forecast!$B$26,$A13&lt;=D$9+0.005),"",$B$3*MAX(0,(Forecast!B15/(1+$A13)^1+Forecast!C15/(1+$A13)^2+Forecast!D15/(1+$A13)^3+Forecast!E15/(1+$A13)^4+Forecast!F15/(1+$A13)^5+Forecast!F13*(1+D$9)*(1-D$9/Forecast!$B$26)/($A13-D$9)/(1+$A13)^5)/Inputs!B12)+(1-$B$3)*(((Relative!B3*(1)*Inputs!B15*(1))/Inputs!B12+(Relative!B4*(1)*Inputs!B17*(1))/Inputs!B12)/2))</x:f>
        <x:v>5065.720232118656</x:v>
      </x:c>
      <x:c r="E13" s="7" t="n">
        <x:f>IF(OR(E$9&lt;0,E$9&gt;=Forecast!$B$26,$A13&lt;=E$9+0.005),"",$B$3*MAX(0,(Forecast!B15/(1+$A13)^1+Forecast!C15/(1+$A13)^2+Forecast!D15/(1+$A13)^3+Forecast!E15/(1+$A13)^4+Forecast!F15/(1+$A13)^5+Forecast!F13*(1+E$9)*(1-E$9/Forecast!$B$26)/($A13-E$9)/(1+$A13)^5)/Inputs!B12)+(1-$B$3)*(((Relative!B3*(1)*Inputs!B15*(1))/Inputs!B12+(Relative!B4*(1)*Inputs!B17*(1))/Inputs!B12)/2))</x:f>
        <x:v>5106.482606096266</x:v>
      </x:c>
      <x:c r="F13" s="7" t="n">
        <x:f>IF(OR(F$9&lt;0,F$9&gt;=Forecast!$B$26,$A13&lt;=F$9+0.005),"",$B$3*MAX(0,(Forecast!B15/(1+$A13)^1+Forecast!C15/(1+$A13)^2+Forecast!D15/(1+$A13)^3+Forecast!E15/(1+$A13)^4+Forecast!F15/(1+$A13)^5+Forecast!F13*(1+F$9)*(1-F$9/Forecast!$B$26)/($A13-F$9)/(1+$A13)^5)/Inputs!B12)+(1-$B$3)*(((Relative!B3*(1)*Inputs!B15*(1))/Inputs!B12+(Relative!B4*(1)*Inputs!B17*(1))/Inputs!B12)/2))</x:f>
        <x:v>5151.204914197244</x:v>
      </x:c>
    </x:row>
    <x:row r="14" ht="23" customHeight="1">
      <x:c r="A14" s="7" t="n">
        <x:f>Forecast!$B$24+0.01</x:f>
        <x:v>0.1335</x:v>
      </x:c>
      <x:c r="B14" s="7" t="n">
        <x:f>IF(OR(B$9&lt;0,B$9&gt;=Forecast!$B$26,$A14&lt;=B$9+0.005),"",$B$3*MAX(0,(Forecast!B15/(1+$A14)^1+Forecast!C15/(1+$A14)^2+Forecast!D15/(1+$A14)^3+Forecast!E15/(1+$A14)^4+Forecast!F15/(1+$A14)^5+Forecast!F13*(1+B$9)*(1-B$9/Forecast!$B$26)/($A14-B$9)/(1+$A14)^5)/Inputs!B12)+(1-$B$3)*(((Relative!B3*(1)*Inputs!B15*(1))/Inputs!B12+(Relative!B4*(1)*Inputs!B17*(1))/Inputs!B12)/2))</x:f>
        <x:v>4844.530581774986</x:v>
      </x:c>
      <x:c r="C14" s="7" t="n">
        <x:f>IF(OR(C$9&lt;0,C$9&gt;=Forecast!$B$26,$A14&lt;=C$9+0.005),"",$B$3*MAX(0,(Forecast!B15/(1+$A14)^1+Forecast!C15/(1+$A14)^2+Forecast!D15/(1+$A14)^3+Forecast!E15/(1+$A14)^4+Forecast!F15/(1+$A14)^5+Forecast!F13*(1+C$9)*(1-C$9/Forecast!$B$26)/($A14-C$9)/(1+$A14)^5)/Inputs!B12)+(1-$B$3)*(((Relative!B3*(1)*Inputs!B15*(1))/Inputs!B12+(Relative!B4*(1)*Inputs!B17*(1))/Inputs!B12)/2))</x:f>
        <x:v>4872.197161171554</x:v>
      </x:c>
      <x:c r="D14" s="7" t="n">
        <x:f>IF(OR(D$9&lt;0,D$9&gt;=Forecast!$B$26,$A14&lt;=D$9+0.005),"",$B$3*MAX(0,(Forecast!B15/(1+$A14)^1+Forecast!C15/(1+$A14)^2+Forecast!D15/(1+$A14)^3+Forecast!E15/(1+$A14)^4+Forecast!F15/(1+$A14)^5+Forecast!F13*(1+D$9)*(1-D$9/Forecast!$B$26)/($A14-D$9)/(1+$A14)^5)/Inputs!B12)+(1-$B$3)*(((Relative!B3*(1)*Inputs!B15*(1))/Inputs!B12+(Relative!B4*(1)*Inputs!B17*(1))/Inputs!B12)/2))</x:f>
        <x:v>4901.9081998983</x:v>
      </x:c>
      <x:c r="E14" s="7" t="n">
        <x:f>IF(OR(E$9&lt;0,E$9&gt;=Forecast!$B$26,$A14&lt;=E$9+0.005),"",$B$3*MAX(0,(Forecast!B15/(1+$A14)^1+Forecast!C15/(1+$A14)^2+Forecast!D15/(1+$A14)^3+Forecast!E15/(1+$A14)^4+Forecast!F15/(1+$A14)^5+Forecast!F13*(1+E$9)*(1-E$9/Forecast!$B$26)/($A14-E$9)/(1+$A14)^5)/Inputs!B12)+(1-$B$3)*(((Relative!B3*(1)*Inputs!B15*(1))/Inputs!B12+(Relative!B4*(1)*Inputs!B17*(1))/Inputs!B12)/2))</x:f>
        <x:v>4933.991686083058</x:v>
      </x:c>
      <x:c r="F14" s="7" t="n">
        <x:f>IF(OR(F$9&lt;0,F$9&gt;=Forecast!$B$26,$A14&lt;=F$9+0.005),"",$B$3*MAX(0,(Forecast!B15/(1+$A14)^1+Forecast!C15/(1+$A14)^2+Forecast!D15/(1+$A14)^3+Forecast!E15/(1+$A14)^4+Forecast!F15/(1+$A14)^5+Forecast!F13*(1+F$9)*(1-F$9/Forecast!$B$26)/($A14-F$9)/(1+$A14)^5)/Inputs!B12)+(1-$B$3)*(((Relative!B3*(1)*Inputs!B15*(1))/Inputs!B12+(Relative!B4*(1)*Inputs!B17*(1))/Inputs!B12)/2))</x:f>
        <x:v>4968.849729464473</x:v>
      </x:c>
    </x:row>
    <x:row r="15" ht="23" customHeight="1">
      <x:c r="A15" s="6" t="str">
        <x:v>Base case / center cell</x:v>
      </x:c>
      <x:c r="B15" s="7" t="n">
        <x:f>D12</x:f>
        <x:v>5248.304457574288</x:v>
      </x:c>
      <x:c r="C15" s="2"/>
      <x:c r="D15" s="2"/>
      <x:c r="E15" s="2"/>
      <x:c r="F15" s="2"/>
    </x:row>
    <x:row r="16" ht="70" customHeight="1">
      <x:c r="A16" s="6" t="str">
        <x:v>Source updates</x:v>
      </x:c>
      <x:c r="B16" s="11" t="str">
        <x:v>Refresh/reimport after changing source classifications, prior book-equity denominator or peer membership.</x:v>
      </x:c>
      <x:c r="C16" s="2"/>
      <x:c r="D16" s="2"/>
      <x:c r="E16" s="2"/>
      <x:c r="F16" s="2"/>
    </x:row>
    <x:row r="17" ht="83" customHeight="1">
      <x:c r="A17" s="6" t="str">
        <x:v>Taxonomy source</x:v>
      </x:c>
      <x:c r="B17" s="11" t="str">
        <x:v>Original full currency units are retained on Source Statement Facts; do not mix native source units with model IDR billions.</x:v>
      </x:c>
      <x:c r="C17" s="2"/>
      <x:c r="D17" s="2"/>
      <x:c r="E17" s="2"/>
      <x:c r="F17" s="2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31" customHeight="1">
      <x:c r="A1" s="18" t="str">
        <x:v>ONE-AT-A-TIME DRIVER STRESSES / EXPORT-TIME SNAPSHOT</x:v>
      </x:c>
      <x:c r="B1" s="4"/>
      <x:c r="C1" s="4"/>
      <x:c r="D1" s="4"/>
      <x:c r="E1" s="4"/>
      <x:c r="F1" s="4"/>
      <x:c r="G1" s="4"/>
    </x:row>
    <x:row r="2" ht="23" customHeight="1">
      <x:c r="A2" s="6" t="str">
        <x:v>Base fair value</x:v>
      </x:c>
      <x:c r="B2" s="2" t="n">
        <x:v>5248.304457574288</x:v>
      </x:c>
      <x:c r="C2" s="2"/>
      <x:c r="D2" s="2"/>
      <x:c r="E2" s="2"/>
      <x:c r="F2" s="2"/>
      <x:c r="G2" s="2"/>
    </x:row>
    <x:row r="3" ht="96" customHeight="1">
      <x:c r="A3" s="6" t="str">
        <x:v>Scope</x:v>
      </x:c>
      <x:c r="B3" s="11" t="str">
        <x:v>Lower/higher refer to the input shock, not the valuation direction. Driver results are snapshots; refresh in RALVEN after changing assumptions.</x:v>
      </x:c>
      <x:c r="C3" s="2"/>
      <x:c r="D3" s="2"/>
      <x:c r="E3" s="2"/>
      <x:c r="F3" s="2"/>
      <x:c r="G3" s="2"/>
    </x:row>
    <x:row r="4" ht="23" customHeight="1">
      <x:c r="A4" s="6" t="str">
        <x:v>Driver</x:v>
      </x:c>
      <x:c r="B4" s="6" t="str">
        <x:v>Shock</x:v>
      </x:c>
      <x:c r="C4" s="6" t="str">
        <x:v>Lower-input fair value</x:v>
      </x:c>
      <x:c r="D4" s="6" t="str">
        <x:v>Higher-input fair value</x:v>
      </x:c>
      <x:c r="E4" s="6" t="str">
        <x:v>Lower change vs base</x:v>
      </x:c>
      <x:c r="F4" s="6" t="str">
        <x:v>Higher change vs base</x:v>
      </x:c>
      <x:c r="G4" s="6" t="str">
        <x:v>Maximum absolute change</x:v>
      </x:c>
    </x:row>
    <x:row r="5" ht="23" customHeight="1">
      <x:c r="A5" s="6" t="str">
        <x:v>Risk-free rate</x:v>
      </x:c>
      <x:c r="B5" s="6" t="str">
        <x:v>±1pp</x:v>
      </x:c>
      <x:c r="C5" s="2" t="n">
        <x:v>5684.173863919092</x:v>
      </x:c>
      <x:c r="D5" s="2" t="n">
        <x:v>4901.9081998983</x:v>
      </x:c>
      <x:c r="E5" s="7" t="n">
        <x:f>IF(ISNUMBER(C5),C5-$B$2,"")</x:f>
        <x:v>435.8694063448038</x:v>
      </x:c>
      <x:c r="F5" s="7" t="n">
        <x:f>IF(ISNUMBER(D5),D5-$B$2,"")</x:f>
        <x:v>-346.3962576759877</x:v>
      </x:c>
      <x:c r="G5" s="7" t="n">
        <x:f>MAX(ABS(E5),ABS(F5))</x:f>
        <x:v>435.8694063448038</x:v>
      </x:c>
    </x:row>
    <x:row r="6" ht="23" customHeight="1">
      <x:c r="A6" s="6" t="str">
        <x:v>Peer multiples</x:v>
      </x:c>
      <x:c r="B6" s="6" t="str">
        <x:v>±20%</x:v>
      </x:c>
      <x:c r="C6" s="2" t="n">
        <x:v>4843.335223697673</x:v>
      </x:c>
      <x:c r="D6" s="2" t="n">
        <x:v>5653.273691450902</x:v>
      </x:c>
      <x:c r="E6" s="7" t="n">
        <x:f>IF(ISNUMBER(C6),C6-$B$2,"")</x:f>
        <x:v>-404.96923387661445</x:v>
      </x:c>
      <x:c r="F6" s="7" t="n">
        <x:f>IF(ISNUMBER(D6),D6-$B$2,"")</x:f>
        <x:v>404.96923387661445</x:v>
      </x:c>
      <x:c r="G6" s="7" t="n">
        <x:f>MAX(ABS(E6),ABS(F6))</x:f>
        <x:v>404.96923387661445</x:v>
      </x:c>
    </x:row>
    <x:row r="7" ht="23" customHeight="1">
      <x:c r="A7" s="6" t="str">
        <x:v>Earnings growth</x:v>
      </x:c>
      <x:c r="B7" s="6" t="str">
        <x:v>±2pp</x:v>
      </x:c>
      <x:c r="C7" s="2" t="n">
        <x:v>4990.281227375442</x:v>
      </x:c>
      <x:c r="D7" s="2" t="n">
        <x:v>5525.151361805716</x:v>
      </x:c>
      <x:c r="E7" s="7" t="n">
        <x:f>IF(ISNUMBER(C7),C7-$B$2,"")</x:f>
        <x:v>-258.02323019884625</x:v>
      </x:c>
      <x:c r="F7" s="7" t="n">
        <x:f>IF(ISNUMBER(D7),D7-$B$2,"")</x:f>
        <x:v>276.8469042314282</x:v>
      </x:c>
      <x:c r="G7" s="7" t="n">
        <x:f>MAX(ABS(E7),ABS(F7))</x:f>
        <x:v>276.8469042314282</x:v>
      </x:c>
    </x:row>
    <x:row r="8" ht="23" customHeight="1">
      <x:c r="A8" s="6" t="str">
        <x:v>Terminal ROE</x:v>
      </x:c>
      <x:c r="B8" s="6" t="str">
        <x:v>±2pp</x:v>
      </x:c>
      <x:c r="C8" s="2" t="n">
        <x:v>5156.268674163625</x:v>
      </x:c>
      <x:c r="D8" s="2" t="n">
        <x:v>5319.887844671472</x:v>
      </x:c>
      <x:c r="E8" s="7" t="n">
        <x:f>IF(ISNUMBER(C8),C8-$B$2,"")</x:f>
        <x:v>-92.03578341066259</x:v>
      </x:c>
      <x:c r="F8" s="7" t="n">
        <x:f>IF(ISNUMBER(D8),D8-$B$2,"")</x:f>
        <x:v>71.58338709718373</x:v>
      </x:c>
      <x:c r="G8" s="7" t="n">
        <x:f>MAX(ABS(E8),ABS(F8))</x:f>
        <x:v>92.03578341066259</x:v>
      </x:c>
    </x:row>
    <x:row r="9" ht="23" customHeight="1">
      <x:c r="A9" s="6" t="str">
        <x:v>Dividend payout</x:v>
      </x:c>
      <x:c r="B9" s="6" t="str">
        <x:v>±5pp</x:v>
      </x:c>
      <x:c r="C9" s="2" t="n">
        <x:v>5177.338018887778</x:v>
      </x:c>
      <x:c r="D9" s="2" t="n">
        <x:v>5319.270896260798</x:v>
      </x:c>
      <x:c r="E9" s="7" t="n">
        <x:f>IF(ISNUMBER(C9),C9-$B$2,"")</x:f>
        <x:v>-70.96643868650972</x:v>
      </x:c>
      <x:c r="F9" s="7" t="n">
        <x:f>IF(ISNUMBER(D9),D9-$B$2,"")</x:f>
        <x:v>70.96643868650972</x:v>
      </x:c>
      <x:c r="G9" s="7" t="n">
        <x:f>MAX(ABS(E9),ABS(F9))</x:f>
        <x:v>70.96643868650972</x:v>
      </x:c>
    </x:row>
    <x:row r="10" ht="23" customHeight="1">
      <x:c r="A10" s="6" t="str">
        <x:v>Terminal growth</x:v>
      </x:c>
      <x:c r="B10" s="6" t="str">
        <x:v>±0.5pp</x:v>
      </x:c>
      <x:c r="C10" s="2" t="n">
        <x:v>5201.434184553173</x:v>
      </x:c>
      <x:c r="D10" s="2" t="n">
        <x:v>5299.84545474074</x:v>
      </x:c>
      <x:c r="E10" s="7" t="n">
        <x:f>IF(ISNUMBER(C10),C10-$B$2,"")</x:f>
        <x:v>-46.87027302111528</x:v>
      </x:c>
      <x:c r="F10" s="7" t="n">
        <x:f>IF(ISNUMBER(D10),D10-$B$2,"")</x:f>
        <x:v>51.540997166452144</x:v>
      </x:c>
      <x:c r="G10" s="7" t="n">
        <x:f>MAX(ABS(E10),ABS(F10))</x:f>
        <x:v>51.540997166452144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3" customHeight="1">
      <x:c r="A1" s="5" t="str">
        <x:v>Parameter</x:v>
      </x:c>
      <x:c r="B1" s="5" t="str">
        <x:v>Value</x:v>
      </x:c>
      <x:c r="C1" s="5" t="str">
        <x:v>Basis</x:v>
      </x:c>
      <x:c r="D1" s="5" t="str">
        <x:v>Historical reference</x:v>
      </x:c>
      <x:c r="E1" s="5" t="str">
        <x:v>Source</x:v>
      </x:c>
      <x:c r="F1" s="5" t="str">
        <x:v>Source date</x:v>
      </x:c>
      <x:c r="G1" s="5" t="str">
        <x:v>Rationale</x:v>
      </x:c>
    </x:row>
    <x:row r="2" ht="57" customHeight="1">
      <x:c r="A2" s="6" t="str">
        <x:v>growth</x:v>
      </x:c>
      <x:c r="B2" s="2" t="n">
        <x:v>0.06</x:v>
      </x:c>
      <x:c r="C2" s="6" t="str">
        <x:v>DEFAULT</x:v>
      </x:c>
      <x:c r="D2" s="2" t="n">
        <x:v>0.011135227896299282</x:v>
      </x:c>
      <x:c r="E2" s="11" t="str">
        <x:v>RALVEN classroom assumption; not issuer guidance</x:v>
      </x:c>
      <x:c r="F2" s="2"/>
      <x:c r="G2" s="11" t="str">
        <x:v>Review against issuer business drivers, capital needs and market conditions.</x:v>
      </x:c>
    </x:row>
    <x:row r="3" ht="57" customHeight="1">
      <x:c r="A3" s="6" t="str">
        <x:v>margin</x:v>
      </x:c>
      <x:c r="B3" s="2" t="n">
        <x:v>0.805884393252461</x:v>
      </x:c>
      <x:c r="C3" s="6" t="str">
        <x:v>HISTORICAL_DERIVED</x:v>
      </x:c>
      <x:c r="D3" s="2" t="n">
        <x:v>0.805884393252461</x:v>
      </x:c>
      <x:c r="E3" s="11" t="str">
        <x:v>Selected financial basis 2026-06-30</x:v>
      </x:c>
      <x:c r="F3" s="6" t="str">
        <x:v>2026-06-30</x:v>
      </x:c>
      <x:c r="G3" s="11" t="str">
        <x:v>Review against issuer business drivers, capital needs and market conditions.</x:v>
      </x:c>
    </x:row>
    <x:row r="4" ht="57" customHeight="1">
      <x:c r="A4" s="6" t="str">
        <x:v>tax</x:v>
      </x:c>
      <x:c r="B4" s="2" t="n">
        <x:v>0.22</x:v>
      </x:c>
      <x:c r="C4" s="6" t="str">
        <x:v>DEFAULT</x:v>
      </x:c>
      <x:c r="D4" s="2"/>
      <x:c r="E4" s="11" t="str">
        <x:v>RALVEN classroom assumption; not issuer guidance</x:v>
      </x:c>
      <x:c r="F4" s="2"/>
      <x:c r="G4" s="11" t="str">
        <x:v>Review against issuer business drivers, capital needs and market conditions.</x:v>
      </x:c>
    </x:row>
    <x:row r="5" ht="57" customHeight="1">
      <x:c r="A5" s="6" t="str">
        <x:v>da</x:v>
      </x:c>
      <x:c r="B5" s="2" t="n">
        <x:v>0.03</x:v>
      </x:c>
      <x:c r="C5" s="6" t="str">
        <x:v>DEFAULT</x:v>
      </x:c>
      <x:c r="D5" s="2"/>
      <x:c r="E5" s="11" t="str">
        <x:v>RALVEN classroom assumption; not issuer guidance</x:v>
      </x:c>
      <x:c r="F5" s="2"/>
      <x:c r="G5" s="11" t="str">
        <x:v>Review against issuer business drivers, capital needs and market conditions.</x:v>
      </x:c>
    </x:row>
    <x:row r="6" ht="57" customHeight="1">
      <x:c r="A6" s="6" t="str">
        <x:v>capex</x:v>
      </x:c>
      <x:c r="B6" s="2" t="n">
        <x:v>0.055</x:v>
      </x:c>
      <x:c r="C6" s="6" t="str">
        <x:v>DEFAULT</x:v>
      </x:c>
      <x:c r="D6" s="2"/>
      <x:c r="E6" s="11" t="str">
        <x:v>RALVEN classroom assumption; not issuer guidance</x:v>
      </x:c>
      <x:c r="F6" s="2"/>
      <x:c r="G6" s="11" t="str">
        <x:v>Review against issuer business drivers, capital needs and market conditions.</x:v>
      </x:c>
    </x:row>
    <x:row r="7" ht="57" customHeight="1">
      <x:c r="A7" s="6" t="str">
        <x:v>nwc</x:v>
      </x:c>
      <x:c r="B7" s="2" t="n">
        <x:v>0.04</x:v>
      </x:c>
      <x:c r="C7" s="6" t="str">
        <x:v>DEFAULT</x:v>
      </x:c>
      <x:c r="D7" s="2"/>
      <x:c r="E7" s="11" t="str">
        <x:v>RALVEN classroom assumption; not issuer guidance</x:v>
      </x:c>
      <x:c r="F7" s="2"/>
      <x:c r="G7" s="11" t="str">
        <x:v>Review against issuer business drivers, capital needs and market conditions.</x:v>
      </x:c>
    </x:row>
    <x:row r="8" ht="57" customHeight="1">
      <x:c r="A8" s="6" t="str">
        <x:v>rf</x:v>
      </x:c>
      <x:c r="B8" s="2" t="n">
        <x:v>0.065</x:v>
      </x:c>
      <x:c r="C8" s="6" t="str">
        <x:v>DEFAULT</x:v>
      </x:c>
      <x:c r="D8" s="2"/>
      <x:c r="E8" s="11" t="str">
        <x:v>RALVEN classroom assumption; not issuer guidance</x:v>
      </x:c>
      <x:c r="F8" s="2"/>
      <x:c r="G8" s="11" t="str">
        <x:v>Review against issuer business drivers, capital needs and market conditions.</x:v>
      </x:c>
    </x:row>
    <x:row r="9" ht="57" customHeight="1">
      <x:c r="A9" s="6" t="str">
        <x:v>beta</x:v>
      </x:c>
      <x:c r="B9" s="2" t="n">
        <x:v>0.9</x:v>
      </x:c>
      <x:c r="C9" s="6" t="str">
        <x:v>DEFAULT</x:v>
      </x:c>
      <x:c r="D9" s="2"/>
      <x:c r="E9" s="11" t="str">
        <x:v>RALVEN classroom assumption; not issuer guidance</x:v>
      </x:c>
      <x:c r="F9" s="2"/>
      <x:c r="G9" s="11" t="str">
        <x:v>Review against issuer business drivers, capital needs and market conditions.</x:v>
      </x:c>
    </x:row>
    <x:row r="10" ht="57" customHeight="1">
      <x:c r="A10" s="6" t="str">
        <x:v>erp</x:v>
      </x:c>
      <x:c r="B10" s="2" t="n">
        <x:v>0.065</x:v>
      </x:c>
      <x:c r="C10" s="6" t="str">
        <x:v>DEFAULT</x:v>
      </x:c>
      <x:c r="D10" s="2"/>
      <x:c r="E10" s="11" t="str">
        <x:v>RALVEN classroom assumption; not issuer guidance</x:v>
      </x:c>
      <x:c r="F10" s="2"/>
      <x:c r="G10" s="11" t="str">
        <x:v>Review against issuer business drivers, capital needs and market conditions.</x:v>
      </x:c>
    </x:row>
    <x:row r="11" ht="57" customHeight="1">
      <x:c r="A11" s="6" t="str">
        <x:v>kd</x:v>
      </x:c>
      <x:c r="B11" s="2" t="n">
        <x:v>0.085</x:v>
      </x:c>
      <x:c r="C11" s="6" t="str">
        <x:v>DEFAULT</x:v>
      </x:c>
      <x:c r="D11" s="2"/>
      <x:c r="E11" s="11" t="str">
        <x:v>RALVEN classroom assumption; not issuer guidance</x:v>
      </x:c>
      <x:c r="F11" s="2"/>
      <x:c r="G11" s="11" t="str">
        <x:v>Review against issuer business drivers, capital needs and market conditions.</x:v>
      </x:c>
    </x:row>
    <x:row r="12" ht="57" customHeight="1">
      <x:c r="A12" s="6" t="str">
        <x:v>g</x:v>
      </x:c>
      <x:c r="B12" s="2" t="n">
        <x:v>0.035</x:v>
      </x:c>
      <x:c r="C12" s="6" t="str">
        <x:v>DEFAULT</x:v>
      </x:c>
      <x:c r="D12" s="2"/>
      <x:c r="E12" s="11" t="str">
        <x:v>RALVEN classroom assumption; not issuer guidance</x:v>
      </x:c>
      <x:c r="F12" s="2"/>
      <x:c r="G12" s="11" t="str">
        <x:v>Review against issuer business drivers, capital needs and market conditions.</x:v>
      </x:c>
    </x:row>
    <x:row r="13" ht="57" customHeight="1">
      <x:c r="A13" s="6" t="str">
        <x:v>roic</x:v>
      </x:c>
      <x:c r="B13" s="2" t="n">
        <x:v>0.14</x:v>
      </x:c>
      <x:c r="C13" s="6" t="str">
        <x:v>DEFAULT</x:v>
      </x:c>
      <x:c r="D13" s="2"/>
      <x:c r="E13" s="11" t="str">
        <x:v>RALVEN classroom assumption; not issuer guidance</x:v>
      </x:c>
      <x:c r="F13" s="2"/>
      <x:c r="G13" s="11" t="str">
        <x:v>Review against issuer business drivers, capital needs and market conditions.</x:v>
      </x:c>
    </x:row>
    <x:row r="14" ht="57" customHeight="1">
      <x:c r="A14" s="6" t="str">
        <x:v>payout</x:v>
      </x:c>
      <x:c r="B14" s="2" t="n">
        <x:v>0.65</x:v>
      </x:c>
      <x:c r="C14" s="6" t="str">
        <x:v>DEFAULT</x:v>
      </x:c>
      <x:c r="D14" s="2"/>
      <x:c r="E14" s="11" t="str">
        <x:v>RALVEN classroom assumption; not issuer guidance</x:v>
      </x:c>
      <x:c r="F14" s="2"/>
      <x:c r="G14" s="11" t="str">
        <x:v>Review against issuer business drivers, capital needs and market conditions.</x:v>
      </x:c>
    </x:row>
    <x:row r="15" ht="57" customHeight="1">
      <x:c r="A15" s="6" t="str">
        <x:v>terminalRoe</x:v>
      </x:c>
      <x:c r="B15" s="2" t="n">
        <x:v>0.16</x:v>
      </x:c>
      <x:c r="C15" s="6" t="str">
        <x:v>DEFAULT</x:v>
      </x:c>
      <x:c r="D15" s="2"/>
      <x:c r="E15" s="11" t="str">
        <x:v>RALVEN classroom assumption; not issuer guidance</x:v>
      </x:c>
      <x:c r="F15" s="2"/>
      <x:c r="G15" s="11" t="str">
        <x:v>Review against issuer business drivers, capital needs and market conditions.</x:v>
      </x:c>
    </x:row>
    <x:row r="16" ht="57" customHeight="1">
      <x:c r="A16" s="6" t="str">
        <x:v>buy</x:v>
      </x:c>
      <x:c r="B16" s="2" t="n">
        <x:v>0.15</x:v>
      </x:c>
      <x:c r="C16" s="6" t="str">
        <x:v>DEFAULT</x:v>
      </x:c>
      <x:c r="D16" s="2"/>
      <x:c r="E16" s="11" t="str">
        <x:v>RALVEN classroom assumption; not issuer guidance</x:v>
      </x:c>
      <x:c r="F16" s="2"/>
      <x:c r="G16" s="11" t="str">
        <x:v>Review against issuer business drivers, capital needs and market conditions.</x:v>
      </x:c>
    </x:row>
    <x:row r="17" ht="57" customHeight="1">
      <x:c r="A17" s="6" t="str">
        <x:v>sell</x:v>
      </x:c>
      <x:c r="B17" s="2" t="n">
        <x:v>-0.15</x:v>
      </x:c>
      <x:c r="C17" s="6" t="str">
        <x:v>DEFAULT</x:v>
      </x:c>
      <x:c r="D17" s="2"/>
      <x:c r="E17" s="11" t="str">
        <x:v>RALVEN classroom assumption; not issuer guidance</x:v>
      </x:c>
      <x:c r="F17" s="2"/>
      <x:c r="G17" s="11" t="str">
        <x:v>Review against issuer business drivers, capital needs and market conditions.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3" hidden="0" customWidth="1"/>
    <x:col min="3" max="3" width="23" hidden="0" customWidth="1"/>
    <x:col min="4" max="4" width="23" hidden="0" customWidth="1"/>
  </x:cols>
  <x:sheetData>
    <x:row r="1" ht="83" customHeight="1">
      <x:c r="A1" s="5" t="str">
        <x:v>Convention</x:v>
      </x:c>
      <x:c r="B1" s="18" t="str">
        <x:v>Rolling next 12 months from valuation date; historical annual/TTM figures are run-rate inputs, not fiscal-year forecasts.</x:v>
      </x:c>
      <x:c r="C1" s="4"/>
      <x:c r="D1" s="4"/>
    </x:row>
    <x:row r="2" ht="23" customHeight="1">
      <x:c r="A2" s="6" t="str">
        <x:v>Year</x:v>
      </x:c>
      <x:c r="B2" s="6" t="str">
        <x:v>Start</x:v>
      </x:c>
      <x:c r="C2" s="6" t="str">
        <x:v>End / payment</x:v>
      </x:c>
      <x:c r="D2" s="6" t="str">
        <x:v>Discount years</x:v>
      </x:c>
    </x:row>
    <x:row r="3" ht="23" customHeight="1">
      <x:c r="A3" s="2" t="n">
        <x:v>1</x:v>
      </x:c>
      <x:c r="B3" s="6" t="str">
        <x:v>2026-10-25</x:v>
      </x:c>
      <x:c r="C3" s="6" t="str">
        <x:v>2027-10-25</x:v>
      </x:c>
      <x:c r="D3" s="2" t="n">
        <x:v>1</x:v>
      </x:c>
    </x:row>
    <x:row r="4" ht="23" customHeight="1">
      <x:c r="A4" s="2" t="n">
        <x:v>2</x:v>
      </x:c>
      <x:c r="B4" s="6" t="str">
        <x:v>2027-10-25</x:v>
      </x:c>
      <x:c r="C4" s="6" t="str">
        <x:v>2028-10-25</x:v>
      </x:c>
      <x:c r="D4" s="2" t="n">
        <x:v>2</x:v>
      </x:c>
    </x:row>
    <x:row r="5" ht="23" customHeight="1">
      <x:c r="A5" s="2" t="n">
        <x:v>3</x:v>
      </x:c>
      <x:c r="B5" s="6" t="str">
        <x:v>2028-10-25</x:v>
      </x:c>
      <x:c r="C5" s="6" t="str">
        <x:v>2029-10-25</x:v>
      </x:c>
      <x:c r="D5" s="2" t="n">
        <x:v>3</x:v>
      </x:c>
    </x:row>
    <x:row r="6" ht="23" customHeight="1">
      <x:c r="A6" s="2" t="n">
        <x:v>4</x:v>
      </x:c>
      <x:c r="B6" s="6" t="str">
        <x:v>2029-10-25</x:v>
      </x:c>
      <x:c r="C6" s="6" t="str">
        <x:v>2030-10-25</x:v>
      </x:c>
      <x:c r="D6" s="2" t="n">
        <x:v>4</x:v>
      </x:c>
    </x:row>
    <x:row r="7" ht="23" customHeight="1">
      <x:c r="A7" s="2" t="n">
        <x:v>5</x:v>
      </x:c>
      <x:c r="B7" s="6" t="str">
        <x:v>2030-10-25</x:v>
      </x:c>
      <x:c r="C7" s="6" t="str">
        <x:v>2031-10-25</x:v>
      </x:c>
      <x:c r="D7" s="2" t="n">
        <x:v>5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3" hidden="0" customWidth="1"/>
  </x:cols>
  <x:sheetData>
    <x:row r="1" ht="23" customHeight="1">
      <x:c r="A1" s="5" t="str">
        <x:v>RALVEN RELEASE</x:v>
      </x:c>
      <x:c r="B1" s="4"/>
    </x:row>
    <x:row r="2" ht="23" customHeight="1">
      <x:c r="A2" s="6" t="str">
        <x:v>Engine</x:v>
      </x:c>
      <x:c r="B2" s="6" t="str">
        <x:v>5.0.1</x:v>
      </x:c>
    </x:row>
    <x:row r="3" ht="23" customHeight="1">
      <x:c r="A3" s="6" t="str">
        <x:v>Template schema</x:v>
      </x:c>
      <x:c r="B3" s="2" t="n">
        <x:v>3</x:v>
      </x:c>
    </x:row>
    <x:row r="4" ht="23" customHeight="1">
      <x:c r="A4" s="6" t="str">
        <x:v>Snapshot</x:v>
      </x:c>
      <x:c r="B4" s="6" t="str">
        <x:v>rv5-920c3287cada8c77</x:v>
      </x:c>
    </x:row>
    <x:row r="5" ht="23" customHeight="1">
      <x:c r="A5" s="6" t="str">
        <x:v>Data snapshot</x:v>
      </x:c>
      <x:c r="B5" s="6" t="str">
        <x:v>rv5-d6d3731642bdf004</x:v>
      </x:c>
    </x:row>
    <x:row r="6" ht="23" customHeight="1">
      <x:c r="A6" s="6" t="str">
        <x:v>Valuation date</x:v>
      </x:c>
      <x:c r="B6" s="6" t="str">
        <x:v>2026-10-25</x:v>
      </x:c>
    </x:row>
    <x:row r="7" ht="70" customHeight="1">
      <x:c r="A7" s="6" t="str">
        <x:v>Source policy</x:v>
      </x:c>
      <x:c r="B7" s="11" t="str">
        <x:v>Source verification is frozen at export; input/economic guards recalculate with editable values.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3" hidden="0" customWidth="1"/>
  </x:cols>
  <x:sheetData>
    <x:row r="1" ht="23" customHeight="1">
      <x:c r="A1" s="5" t="str">
        <x:v>RALVEN / DECISION BASIS</x:v>
      </x:c>
      <x:c r="B1" s="4"/>
    </x:row>
    <x:row r="2" ht="23" customHeight="1">
      <x:c r="A2" s="6" t="str">
        <x:v>Action</x:v>
      </x:c>
      <x:c r="B2" s="6" t="str">
        <x:v>BUY</x:v>
      </x:c>
    </x:row>
    <x:row r="3" ht="23" customHeight="1">
      <x:c r="A3" s="6" t="str">
        <x:v>Kind</x:v>
      </x:c>
      <x:c r="B3" s="6" t="str">
        <x:v>VALUATION</x:v>
      </x:c>
    </x:row>
    <x:row r="4" ht="23" customHeight="1">
      <x:c r="A4" s="6" t="str">
        <x:v>Assurance</x:v>
      </x:c>
      <x:c r="B4" s="6" t="str">
        <x:v>MEDIUM</x:v>
      </x:c>
    </x:row>
    <x:row r="5" ht="23" customHeight="1">
      <x:c r="A5" s="6" t="str">
        <x:v>Status</x:v>
      </x:c>
      <x:c r="B5" s="6" t="str">
        <x:v>MODEL ESTIMATE</x:v>
      </x:c>
    </x:row>
    <x:row r="6" ht="23" customHeight="1">
      <x:c r="A6" s="6" t="str">
        <x:v>Method</x:v>
      </x:c>
      <x:c r="B6" s="6" t="str">
        <x:v>core</x:v>
      </x:c>
    </x:row>
    <x:row r="7" ht="96" customHeight="1">
      <x:c r="A7" s="6" t="str">
        <x:v>Limitations</x:v>
      </x:c>
      <x:c r="B7" s="11" t="str">
        <x:v>Financial services use DDM at cost of equity; no corporate net-debt bridge. Actual eligible weights: 50% intrinsic / 50% industry relative. </x:v>
      </x:c>
    </x:row>
    <x:row r="8" ht="23" customHeight="1">
      <x:c r="A8" s="6" t="str">
        <x:v>Required fixes</x:v>
      </x:c>
      <x:c r="B8" s="6" t="str"/>
    </x:row>
  </x:sheetData>
  <x:pageMargins left="0.7" right="0.7" top="0.75" bottom="0.75" header="0.3" footer="0.3"/>
</x:worksheet>
</file>